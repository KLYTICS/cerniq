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ost_Stack" sheetId="3" state="visible" r:id="rId5"/>
    <sheet name="Trial_Economics" sheetId="4" state="visible" r:id="rId6"/>
    <sheet name="Funnel_24mo" sheetId="5" state="visible" r:id="rId7"/>
    <sheet name="PnL_24mo" sheetId="6" state="visible" r:id="rId8"/>
    <sheet name="CashFlow_24mo" sheetId="7" state="visible" r:id="rId9"/>
    <sheet name="UnitEcon" sheetId="8" state="visible" r:id="rId10"/>
    <sheet name="Scenari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AEGIS-Model</author>
  </authors>
  <commentList>
    <comment ref="B5" authorId="0">
      <text>
        <r>
          <rPr>
            <sz val="10"/>
            <rFont val="Arial"/>
            <family val="2"/>
          </rPr>
          <t xml:space="preserve">Operator decision 2026-05-05 (overrides OD-003 default).</t>
        </r>
      </text>
    </comment>
    <comment ref="B6" authorId="0">
      <text>
        <r>
          <rPr>
            <sz val="10"/>
            <rFont val="Arial"/>
            <family val="2"/>
          </rPr>
          <t xml:space="preserve">Mirrors prior OD-003 option (Dev $49 / 50K).</t>
        </r>
      </text>
    </comment>
    <comment ref="B7" authorId="0">
      <text>
        <r>
          <rPr>
            <sz val="10"/>
            <rFont val="Arial"/>
            <family val="2"/>
          </rPr>
          <t xml:space="preserve">Operator decision 2026-05-05.</t>
        </r>
      </text>
    </comment>
    <comment ref="B8" authorId="0">
      <text>
        <r>
          <rPr>
            <sz val="10"/>
            <rFont val="Arial"/>
            <family val="2"/>
          </rPr>
          <t xml:space="preserve">Mirrors OD-003 Growth-tier verify cap.</t>
        </r>
      </text>
    </comment>
    <comment ref="B9" authorId="0">
      <text>
        <r>
          <rPr>
            <sz val="10"/>
            <rFont val="Arial"/>
            <family val="2"/>
          </rPr>
          <t xml:space="preserve">Operator decision 2026-05-05; lands between OD-003's Growth and Enterprise.</t>
        </r>
      </text>
    </comment>
    <comment ref="B10" authorId="0">
      <text>
        <r>
          <rPr>
            <sz val="10"/>
            <rFont val="Arial"/>
            <family val="2"/>
          </rPr>
          <t xml:space="preserve">Reflects spec § Part V Growth-tier headroom.</t>
        </r>
      </text>
    </comment>
    <comment ref="B11" authorId="0">
      <text>
        <r>
          <rPr>
            <sz val="10"/>
            <rFont val="Arial"/>
            <family val="2"/>
          </rPr>
          <t xml:space="preserve">Operator decision 2026-05-05. 160x marginal cost ($5/M = $0.000005).</t>
        </r>
      </text>
    </comment>
    <comment ref="B12" authorId="0">
      <text>
        <r>
          <rPr>
            <sz val="10"/>
            <rFont val="Arial"/>
            <family val="2"/>
          </rPr>
          <t xml:space="preserve">Usage-capped, no time limit. Conversion trigger = hitting cap.</t>
        </r>
      </text>
    </comment>
    <comment ref="B15" authorId="0">
      <text>
        <r>
          <rPr>
            <sz val="10"/>
            <rFont val="Arial"/>
            <family val="2"/>
          </rPr>
          <t xml:space="preserve">docs/CAPACITY_PLAN.md §11.2 (CF Workers + KMS sign + Postgres insert).</t>
        </r>
      </text>
    </comment>
    <comment ref="B16" authorId="0">
      <text>
        <r>
          <rPr>
            <sz val="10"/>
            <rFont val="Arial"/>
            <family val="2"/>
          </rPr>
          <t xml:space="preserve">Pre-aggregation drops dominant KMS term ~10x; assume 50% effective once shipped.</t>
        </r>
      </text>
    </comment>
    <comment ref="B17" authorId="0">
      <text>
        <r>
          <rPr>
            <sz val="10"/>
            <rFont val="Arial"/>
            <family val="2"/>
          </rPr>
          <t xml:space="preserve">Stripe standard 2.9% + $0.30 per charge; $0.30 absorbed in fixed billing fee below.</t>
        </r>
      </text>
    </comment>
    <comment ref="B18" authorId="0">
      <text>
        <r>
          <rPr>
            <sz val="10"/>
            <rFont val="Arial"/>
            <family val="2"/>
          </rPr>
          <t xml:space="preserve">Stripe standard.</t>
        </r>
      </text>
    </comment>
    <comment ref="B21" authorId="0">
      <text>
        <r>
          <rPr>
            <sz val="10"/>
            <rFont val="Arial"/>
            <family val="2"/>
          </rPr>
          <t xml:space="preserve">Operator brief 2026-05-05.</t>
        </r>
      </text>
    </comment>
    <comment ref="B22" authorId="0">
      <text>
        <r>
          <rPr>
            <sz val="10"/>
            <rFont val="Arial"/>
            <family val="2"/>
          </rPr>
          <t xml:space="preserve">Operator brief 2026-05-05.</t>
        </r>
      </text>
    </comment>
    <comment ref="B23" authorId="0">
      <text>
        <r>
          <rPr>
            <sz val="10"/>
            <rFont val="Arial"/>
            <family val="2"/>
          </rPr>
          <t xml:space="preserve">Development + agent ops via API. Variable; this is steady-state baseline.</t>
        </r>
      </text>
    </comment>
    <comment ref="B24" authorId="0">
      <text>
        <r>
          <rPr>
            <sz val="10"/>
            <rFont val="Arial"/>
            <family val="2"/>
          </rPr>
          <t xml:space="preserve">API spend grows ~40% every 6 months as agent fleet scales.</t>
        </r>
      </text>
    </comment>
    <comment ref="B27" authorId="0">
      <text>
        <r>
          <rPr>
            <sz val="10"/>
            <rFont val="Arial"/>
            <family val="2"/>
          </rPr>
          <t xml:space="preserve">Vercel Pro + Supabase Pro + Railway team + GitHub Team + Cloudflare Pro + Sentry + PostHog + domains. Adjust as line items move.</t>
        </r>
      </text>
    </comment>
    <comment ref="B28" authorId="0">
      <text>
        <r>
          <rPr>
            <sz val="10"/>
            <rFont val="Arial"/>
            <family val="2"/>
          </rPr>
          <t xml:space="preserve">AEGIS is one of three projects on KLYTICS infra (AEGIS / ComplianceKit / APEX). Allocation reflects expected verify-traffic share.</t>
        </r>
      </text>
    </comment>
    <comment ref="B31" authorId="0">
      <text>
        <r>
          <rPr>
            <sz val="10"/>
            <rFont val="Arial"/>
            <family val="2"/>
          </rPr>
          <t xml:space="preserve">Phase 1 GA midpoint of $80–$300 range from CAPACITY_PLAN §11.1.</t>
        </r>
      </text>
    </comment>
    <comment ref="B32" authorId="0">
      <text>
        <r>
          <rPr>
            <sz val="10"/>
            <rFont val="Arial"/>
            <family val="2"/>
          </rPr>
          <t xml:space="preserve">CAPACITY_PLAN §11.1.</t>
        </r>
      </text>
    </comment>
    <comment ref="B33" authorId="0">
      <text>
        <r>
          <rPr>
            <sz val="10"/>
            <rFont val="Arial"/>
            <family val="2"/>
          </rPr>
          <t xml:space="preserve">CAPACITY_PLAN §11.1 typical.</t>
        </r>
      </text>
    </comment>
    <comment ref="B34" authorId="0">
      <text>
        <r>
          <rPr>
            <sz val="10"/>
            <rFont val="Arial"/>
            <family val="2"/>
          </rPr>
          <t xml:space="preserve">Audit chain Ed25519 signing baseline (volume-scaled term lives in COGS row).</t>
        </r>
      </text>
    </comment>
    <comment ref="B35" authorId="0">
      <text>
        <r>
          <rPr>
            <sz val="10"/>
            <rFont val="Arial"/>
            <family val="2"/>
          </rPr>
          <t xml:space="preserve">Phase 3 edge verify path; minimal at GA.</t>
        </r>
      </text>
    </comment>
    <comment ref="B36" authorId="0">
      <text>
        <r>
          <rPr>
            <sz val="10"/>
            <rFont val="Arial"/>
            <family val="2"/>
          </rPr>
          <t xml:space="preserve">Sentry Team + log retention.</t>
        </r>
      </text>
    </comment>
    <comment ref="B37" authorId="0">
      <text>
        <r>
          <rPr>
            <sz val="10"/>
            <rFont val="Arial"/>
            <family val="2"/>
          </rPr>
          <t xml:space="preserve">Baseline. At 10M verifies/mo, infra ~1.6x. At 100M, ~3.5x. Linear interp on Cost_Stack.</t>
        </r>
      </text>
    </comment>
    <comment ref="B40" authorId="0">
      <text>
        <r>
          <rPr>
            <sz val="10"/>
            <rFont val="Arial"/>
            <family val="2"/>
          </rPr>
          <t xml:space="preserve">Operator runs lean; set to 0 until cash-flow break-even. Edit when comp begins.</t>
        </r>
      </text>
    </comment>
    <comment ref="B41" authorId="0">
      <text>
        <r>
          <rPr>
            <sz val="10"/>
            <rFont val="Arial"/>
            <family val="2"/>
          </rPr>
          <t xml:space="preserve">Design, content, occasional eng support.</t>
        </r>
      </text>
    </comment>
    <comment ref="B42" authorId="0">
      <text>
        <r>
          <rPr>
            <sz val="10"/>
            <rFont val="Arial"/>
            <family val="2"/>
          </rPr>
          <t xml:space="preserve">Year-2 step-up as wedge accelerates.</t>
        </r>
      </text>
    </comment>
    <comment ref="B45" authorId="0">
      <text>
        <r>
          <rPr>
            <sz val="10"/>
            <rFont val="Arial"/>
            <family val="2"/>
          </rPr>
          <t xml:space="preserve">Founder-led GTM; minimal paid spend in early months.</t>
        </r>
      </text>
    </comment>
    <comment ref="B46" authorId="0">
      <text>
        <r>
          <rPr>
            <sz val="10"/>
            <rFont val="Arial"/>
            <family val="2"/>
          </rPr>
          <t xml:space="preserve">Switch on retargeting + LinkedIn after PMF signal.</t>
        </r>
      </text>
    </comment>
    <comment ref="B47" authorId="0">
      <text>
        <r>
          <rPr>
            <sz val="10"/>
            <rFont val="Arial"/>
            <family val="2"/>
          </rPr>
          <t xml:space="preserve">Year-2 wedge: paid funnels into 3-line-of-code quickstart.</t>
        </r>
      </text>
    </comment>
    <comment ref="B48" authorId="0">
      <text>
        <r>
          <rPr>
            <sz val="10"/>
            <rFont val="Arial"/>
            <family val="2"/>
          </rPr>
          <t xml:space="preserve">Sponsorships, swag, dev-rel travel pro-rata.</t>
        </r>
      </text>
    </comment>
    <comment ref="B51" authorId="0">
      <text>
        <r>
          <rPr>
            <sz val="10"/>
            <rFont val="Arial"/>
            <family val="2"/>
          </rPr>
          <t xml:space="preserve">Founder-network + GROWTH_PLAYBOOK.md cohort 1.</t>
        </r>
      </text>
    </comment>
    <comment ref="B52" authorId="0">
      <text>
        <r>
          <rPr>
            <sz val="10"/>
            <rFont val="Arial"/>
            <family val="2"/>
          </rPr>
          <t xml:space="preserve">Post-quickstart funnel turns on.</t>
        </r>
      </text>
    </comment>
    <comment ref="B53" authorId="0">
      <text>
        <r>
          <rPr>
            <sz val="10"/>
            <rFont val="Arial"/>
            <family val="2"/>
          </rPr>
          <t xml:space="preserve">Word-of-mouth + AI agent newsletter coverage.</t>
        </r>
      </text>
    </comment>
    <comment ref="B54" authorId="0">
      <text>
        <r>
          <rPr>
            <sz val="10"/>
            <rFont val="Arial"/>
            <family val="2"/>
          </rPr>
          <t xml:space="preserve">Year-2 wedge fully on.</t>
        </r>
      </text>
    </comment>
    <comment ref="B57" authorId="0">
      <text>
        <r>
          <rPr>
            <sz val="10"/>
            <rFont val="Arial"/>
            <family val="2"/>
          </rPr>
          <t xml:space="preserve">Mid of 12-22% PLG benchmark for dev tools (LinearB / PostHog).</t>
        </r>
      </text>
    </comment>
    <comment ref="B58" authorId="0">
      <text>
        <r>
          <rPr>
            <sz val="10"/>
            <rFont val="Arial"/>
            <family val="2"/>
          </rPr>
          <t xml:space="preserve">Onboarding rough; conversion lower at start.</t>
        </r>
      </text>
    </comment>
    <comment ref="B59" authorId="0">
      <text>
        <r>
          <rPr>
            <sz val="10"/>
            <rFont val="Arial"/>
            <family val="2"/>
          </rPr>
          <t xml:space="preserve">Quickstart polished, conversion approaches steady-state.</t>
        </r>
      </text>
    </comment>
    <comment ref="B60" authorId="0">
      <text>
        <r>
          <rPr>
            <sz val="10"/>
            <rFont val="Arial"/>
            <family val="2"/>
          </rPr>
          <t xml:space="preserve">Bulk of PLG flow.</t>
        </r>
      </text>
    </comment>
    <comment ref="B61" authorId="0">
      <text>
        <r>
          <rPr>
            <sz val="10"/>
            <rFont val="Arial"/>
            <family val="2"/>
          </rPr>
          <t xml:space="preserve">Sales-assisted motion (Persona B).</t>
        </r>
      </text>
    </comment>
    <comment ref="B62" authorId="0">
      <text>
        <r>
          <rPr>
            <sz val="10"/>
            <rFont val="Arial"/>
            <family val="2"/>
          </rPr>
          <t xml:space="preserve">Enterprise motion (Persona C); long sales cycle so most show up Y2.</t>
        </r>
      </text>
    </comment>
    <comment ref="B63" authorId="0">
      <text>
        <r>
          <rPr>
            <sz val="10"/>
            <rFont val="Arial"/>
            <family val="2"/>
          </rPr>
          <t xml:space="preserve">PLG dev-tool norm 4-6%/mo.</t>
        </r>
      </text>
    </comment>
    <comment ref="B64" authorId="0">
      <text>
        <r>
          <rPr>
            <sz val="10"/>
            <rFont val="Arial"/>
            <family val="2"/>
          </rPr>
          <t xml:space="preserve">Mid-market dev tool norm.</t>
        </r>
      </text>
    </comment>
    <comment ref="B65" authorId="0">
      <text>
        <r>
          <rPr>
            <sz val="10"/>
            <rFont val="Arial"/>
            <family val="2"/>
          </rPr>
          <t xml:space="preserve">Enterprise contract sticky.</t>
        </r>
      </text>
    </comment>
    <comment ref="B66" authorId="0">
      <text>
        <r>
          <rPr>
            <sz val="10"/>
            <rFont val="Arial"/>
            <family val="2"/>
          </rPr>
          <t xml:space="preserve">Slight expansion via overage.</t>
        </r>
      </text>
    </comment>
    <comment ref="B67" authorId="0">
      <text>
        <r>
          <rPr>
            <sz val="10"/>
            <rFont val="Arial"/>
            <family val="2"/>
          </rPr>
          <t xml:space="preserve">Tier upgrades + overage.</t>
        </r>
      </text>
    </comment>
    <comment ref="B68" authorId="0">
      <text>
        <r>
          <rPr>
            <sz val="10"/>
            <rFont val="Arial"/>
            <family val="2"/>
          </rPr>
          <t xml:space="preserve">Custom enterprise expansion.</t>
        </r>
      </text>
    </comment>
    <comment ref="B69" authorId="0">
      <text>
        <r>
          <rPr>
            <sz val="10"/>
            <rFont val="Arial"/>
            <family val="2"/>
          </rPr>
          <t xml:space="preserve">Within Dev cap; ~60% utilization of 50K.</t>
        </r>
      </text>
    </comment>
    <comment ref="B70" authorId="0">
      <text>
        <r>
          <rPr>
            <sz val="10"/>
            <rFont val="Arial"/>
            <family val="2"/>
          </rPr>
          <t xml:space="preserve">70% utilization of 500K.</t>
        </r>
      </text>
    </comment>
    <comment ref="B71" authorId="0">
      <text>
        <r>
          <rPr>
            <sz val="10"/>
            <rFont val="Arial"/>
            <family val="2"/>
          </rPr>
          <t xml:space="preserve">90% utilization of 5M.</t>
        </r>
      </text>
    </comment>
    <comment ref="B72" authorId="0">
      <text>
        <r>
          <rPr>
            <sz val="10"/>
            <rFont val="Arial"/>
            <family val="2"/>
          </rPr>
          <t xml:space="preserve">Customers occasionally cross caps.</t>
        </r>
      </text>
    </comment>
    <comment ref="B75" authorId="0">
      <text>
        <r>
          <rPr>
            <sz val="10"/>
            <rFont val="Arial"/>
            <family val="2"/>
          </rPr>
          <t xml:space="preserve">Slower trial sign-ups (recession / launch slip).</t>
        </r>
      </text>
    </comment>
    <comment ref="B76" authorId="0">
      <text>
        <r>
          <rPr>
            <sz val="10"/>
            <rFont val="Arial"/>
            <family val="2"/>
          </rPr>
          <t xml:space="preserve">Worse activation.</t>
        </r>
      </text>
    </comment>
    <comment ref="B77" authorId="0">
      <text>
        <r>
          <rPr>
            <sz val="10"/>
            <rFont val="Arial"/>
            <family val="2"/>
          </rPr>
          <t xml:space="preserve">Viral platform-partner integration (LangChain).</t>
        </r>
      </text>
    </comment>
    <comment ref="B78" authorId="0">
      <text>
        <r>
          <rPr>
            <sz val="10"/>
            <rFont val="Arial"/>
            <family val="2"/>
          </rPr>
          <t xml:space="preserve">Quickstart exceptional.</t>
        </r>
      </text>
    </comment>
    <comment ref="B81" authorId="0">
      <text>
        <r>
          <rPr>
            <sz val="10"/>
            <rFont val="Arial"/>
            <family val="2"/>
          </rPr>
          <t xml:space="preserve">US C-corp federal rate; state varies. Conservative single rate for projection.</t>
        </r>
      </text>
    </comment>
    <comment ref="B82" authorId="0">
      <text>
        <r>
          <rPr>
            <sz val="10"/>
            <rFont val="Arial"/>
            <family val="2"/>
          </rPr>
          <t xml:space="preserve">Typical early-stage SaaS LTV discount.</t>
        </r>
      </text>
    </comment>
    <comment ref="B83" authorId="0">
      <text>
        <r>
          <rPr>
            <sz val="10"/>
            <rFont val="Arial"/>
            <family val="2"/>
          </rPr>
          <t xml:space="preserve">Cash collection lag.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AEGIS-Model</author>
  </authors>
  <commentList>
    <comment ref="B3" authorId="0">
      <text>
        <r>
          <rPr>
            <sz val="10"/>
            <rFont val="Arial"/>
            <family val="2"/>
          </rPr>
          <t xml:space="preserve">Informational selector — multipliers below are what actually drive the comparison columns.</t>
        </r>
      </text>
    </comment>
  </commentList>
</comments>
</file>

<file path=xl/sharedStrings.xml><?xml version="1.0" encoding="utf-8"?>
<sst xmlns="http://schemas.openxmlformats.org/spreadsheetml/2006/main" count="433" uniqueCount="347">
  <si>
    <t xml:space="preserve">AEGIS — Financial Model v1.0  (24-month projection)</t>
  </si>
  <si>
    <t xml:space="preserve">Built 2026-05-05 from the operator brief and docs/CAPACITY_PLAN.md §11</t>
  </si>
  <si>
    <t xml:space="preserve">PURPOSE</t>
  </si>
  <si>
    <t xml:space="preserve">Forecast revenue, cost, and cash for AEGIS through Phase 1 GA + 12 months of growth, sized so the free-trial design and pricing tiers can be defended to investors and used as a marketing wedge.</t>
  </si>
  <si>
    <t xml:space="preserve">HOW TO USE</t>
  </si>
  <si>
    <t xml:space="preserve">1. Open 'Assumptions' and adjust any BLUE cell. Yellow-highlighted cells are the highest-leverage knobs.</t>
  </si>
  <si>
    <t xml:space="preserve">2. Watch results flow into PnL_24mo, CashFlow_24mo, and Scenarios automatically.</t>
  </si>
  <si>
    <t xml:space="preserve">3. Switch the scenario selector on 'Scenarios' (cell B3) between Bear / Base / Bull to see funnel sensitivity.</t>
  </si>
  <si>
    <t xml:space="preserve">TAB MAP</t>
  </si>
  <si>
    <t xml:space="preserve">  Assumptions       — every input the operator can flex; pricing, trial size, conversion, churn, ARPU mix</t>
  </si>
  <si>
    <t xml:space="preserve">  Cost_Stack        — monthly stack reconciliation: $223 Claude Max + $20 Codex + Anthropic API + KLYTICS shared infra + AEGIS-only infra</t>
  </si>
  <si>
    <t xml:space="preserve">  Trial_Economics   — what one free trial costs us, implied CAC ceiling, payback math</t>
  </si>
  <si>
    <t xml:space="preserve">  Funnel_24mo       — trial sign-ups → paid conversions → churn cohort by month for 24 months</t>
  </si>
  <si>
    <t xml:space="preserve">  PnL_24mo          — Revenue (Dev / Team / Scale + overage) minus COGS minus OpEx</t>
  </si>
  <si>
    <t xml:space="preserve">  CashFlow_24mo     — Net + cumulative cash position; identifies the trough month</t>
  </si>
  <si>
    <t xml:space="preserve">  UnitEcon          — per-customer LTV / CAC / payback months by tier</t>
  </si>
  <si>
    <t xml:space="preserve">  Scenarios         — Bear / Base / Bull side-by-side, driven by Scenarios!B3</t>
  </si>
  <si>
    <t xml:space="preserve">COLOR KEY (xlsx skill convention)</t>
  </si>
  <si>
    <t xml:space="preserve">  Blue   = hardcoded input you can change</t>
  </si>
  <si>
    <t xml:space="preserve">  Black  = calculated formula</t>
  </si>
  <si>
    <t xml:space="preserve">  Green  = cross-sheet link</t>
  </si>
  <si>
    <t xml:space="preserve">  Yellow = key assumption flagged for review</t>
  </si>
  <si>
    <t xml:space="preserve">NUMERIC SOURCES</t>
  </si>
  <si>
    <t xml:space="preserve">  • $5 / M-verify marginal compute cost  → docs/CAPACITY_PLAN.md §11.2</t>
  </si>
  <si>
    <t xml:space="preserve">  • Railway / Postgres baseline ranges    → docs/CAPACITY_PLAN.md §11.1</t>
  </si>
  <si>
    <t xml:space="preserve">  • ACV ranges per buying motion           → docs/spec/04_COMMERCIAL_STRATEGY.md Part I</t>
  </si>
  <si>
    <t xml:space="preserve">  • Operator personal stack ($223 Claude Max + $20 Codex + Anthropic API + KLYTICS shared infra) → operator brief 2026-05-05</t>
  </si>
  <si>
    <t xml:space="preserve">DECISIONS THIS MODEL ENCODES</t>
  </si>
  <si>
    <t xml:space="preserve">  • OD-003 (pricing tier hard gates):  $49 Dev / $299 Team / $1,499 Scale + $0.0008 overage. Reconciles the two prior options in OPERATOR_DECISIONS.md by selecting a third price point. See ADR-0014.</t>
  </si>
  <si>
    <t xml:space="preserve">  • Free-trial design:  10,000 verifications, NO time limit. Conversion trigger = hitting the cap, not the calendar.</t>
  </si>
  <si>
    <t xml:space="preserve">WHAT THIS MODEL DOES NOT DO</t>
  </si>
  <si>
    <t xml:space="preserve">  • Does not model fundraising rounds. Bottom-line cash burn assumes self-funding from KLYTICS.</t>
  </si>
  <si>
    <t xml:space="preserve">  • Does not include legal / accounting / one-time setup. See docs/finance/STRATEGY_MEMO.docx §6.</t>
  </si>
  <si>
    <t xml:space="preserve">  • Does not split federal vs state tax. Effective tax rate is a single blue input on Assumptions.</t>
  </si>
  <si>
    <t xml:space="preserve">Assumptions  —  every blue cell is operator-editable</t>
  </si>
  <si>
    <t xml:space="preserve">Driver</t>
  </si>
  <si>
    <t xml:space="preserve">Value</t>
  </si>
  <si>
    <t xml:space="preserve">Source / rationale</t>
  </si>
  <si>
    <t xml:space="preserve">PRICING &amp; PACKAGING</t>
  </si>
  <si>
    <t xml:space="preserve">Dev tier monthly price (USD)</t>
  </si>
  <si>
    <t xml:space="preserve">Operator decision 2026-05-05 (overrides OD-003 default).</t>
  </si>
  <si>
    <t xml:space="preserve">Dev tier verifies included / mo</t>
  </si>
  <si>
    <t xml:space="preserve">Mirrors prior OD-003 option (Dev $49 / 50K).</t>
  </si>
  <si>
    <t xml:space="preserve">Team tier monthly price (USD)</t>
  </si>
  <si>
    <t xml:space="preserve">Operator decision 2026-05-05.</t>
  </si>
  <si>
    <t xml:space="preserve">Team tier verifies included / mo</t>
  </si>
  <si>
    <t xml:space="preserve">Mirrors OD-003 Growth-tier verify cap.</t>
  </si>
  <si>
    <t xml:space="preserve">Scale tier monthly price (USD)</t>
  </si>
  <si>
    <t xml:space="preserve">Operator decision 2026-05-05; lands between OD-003's Growth and Enterprise.</t>
  </si>
  <si>
    <t xml:space="preserve">Scale tier verifies included / mo</t>
  </si>
  <si>
    <t xml:space="preserve">Reflects spec § Part V Growth-tier headroom.</t>
  </si>
  <si>
    <t xml:space="preserve">Overage price per verify (USD)</t>
  </si>
  <si>
    <t xml:space="preserve">Operator decision 2026-05-05. 160x marginal cost ($5/M = $0.000005).</t>
  </si>
  <si>
    <t xml:space="preserve">Free-trial verify cap (per principal)</t>
  </si>
  <si>
    <t xml:space="preserve">Usage-capped, no time limit. Conversion trigger = hitting cap.</t>
  </si>
  <si>
    <t xml:space="preserve">COST OF GOODS SOLD (variable)</t>
  </si>
  <si>
    <t xml:space="preserve">Per-1M-verify marginal compute (USD)</t>
  </si>
  <si>
    <t xml:space="preserve">docs/CAPACITY_PLAN.md §11.2 (CF Workers + KMS sign + Postgres insert).</t>
  </si>
  <si>
    <t xml:space="preserve">KMS sign cost reduction from M-038 batch</t>
  </si>
  <si>
    <t xml:space="preserve">Pre-aggregation drops dominant KMS term ~10x; assume 50% effective once shipped.</t>
  </si>
  <si>
    <t xml:space="preserve">Stripe + payment processing rate</t>
  </si>
  <si>
    <t xml:space="preserve">Stripe standard 2.9% + $0.30 per charge; $0.30 absorbed in fixed billing fee below.</t>
  </si>
  <si>
    <t xml:space="preserve">Stripe per-transaction fixed (USD)</t>
  </si>
  <si>
    <t xml:space="preserve">Stripe standard.</t>
  </si>
  <si>
    <t xml:space="preserve">OPERATOR PERSONAL STACK (fixed monthly)</t>
  </si>
  <si>
    <t xml:space="preserve">Claude Max plan (USD/mo)</t>
  </si>
  <si>
    <t xml:space="preserve">Operator brief 2026-05-05.</t>
  </si>
  <si>
    <t xml:space="preserve">Codex / OpenAI subscription (USD/mo)</t>
  </si>
  <si>
    <t xml:space="preserve">Anthropic API spend baseline (USD/mo)</t>
  </si>
  <si>
    <t xml:space="preserve">Development + agent ops via API. Variable; this is steady-state baseline.</t>
  </si>
  <si>
    <t xml:space="preserve">Anthropic API growth multiplier per 6mo</t>
  </si>
  <si>
    <t xml:space="preserve">API spend grows ~40% every 6 months as agent fleet scales.</t>
  </si>
  <si>
    <t xml:space="preserve">KLYTICS SHARED INFRASTRUCTURE (allocated to AEGIS)</t>
  </si>
  <si>
    <t xml:space="preserve">Total KLYTICS infra spend (USD/mo)</t>
  </si>
  <si>
    <t xml:space="preserve">Vercel Pro + Supabase Pro + Railway team + GitHub Team + Cloudflare Pro + Sentry + PostHog + domains. Adjust as line items move.</t>
  </si>
  <si>
    <t xml:space="preserve">Allocation share to AEGIS (%)</t>
  </si>
  <si>
    <t xml:space="preserve">AEGIS is one of three projects on KLYTICS infra (AEGIS / ComplianceKit / APEX). Allocation reflects expected verify-traffic share.</t>
  </si>
  <si>
    <t xml:space="preserve">AEGIS-SPECIFIC INFRA (scales with verify volume)</t>
  </si>
  <si>
    <t xml:space="preserve">Railway API pods baseline (USD/mo)</t>
  </si>
  <si>
    <t xml:space="preserve">Phase 1 GA midpoint of $80–$300 range from CAPACITY_PLAN §11.1.</t>
  </si>
  <si>
    <t xml:space="preserve">Railway Postgres baseline (USD/mo)</t>
  </si>
  <si>
    <t xml:space="preserve">CAPACITY_PLAN §11.1.</t>
  </si>
  <si>
    <t xml:space="preserve">Redis + BullMQ (USD/mo)</t>
  </si>
  <si>
    <t xml:space="preserve">CAPACITY_PLAN §11.1 typical.</t>
  </si>
  <si>
    <t xml:space="preserve">KMS / GCP signing baseline (USD/mo)</t>
  </si>
  <si>
    <t xml:space="preserve">Audit chain Ed25519 signing baseline (volume-scaled term lives in COGS row).</t>
  </si>
  <si>
    <t xml:space="preserve">Cloudflare Workers baseline (USD/mo)</t>
  </si>
  <si>
    <t xml:space="preserve">Phase 3 edge verify path; minimal at GA.</t>
  </si>
  <si>
    <t xml:space="preserve">Observability (Sentry/Datadog) (USD/mo)</t>
  </si>
  <si>
    <t xml:space="preserve">Sentry Team + log retention.</t>
  </si>
  <si>
    <t xml:space="preserve">Infra scaling factor at 1M verifies/mo (multiplier)</t>
  </si>
  <si>
    <t xml:space="preserve">Baseline. At 10M verifies/mo, infra ~1.6x. At 100M, ~3.5x. Linear interp on Cost_Stack.</t>
  </si>
  <si>
    <t xml:space="preserve">HEADCOUNT / CONTRACTORS</t>
  </si>
  <si>
    <t xml:space="preserve">Operator draw / salary (USD/mo)</t>
  </si>
  <si>
    <t xml:space="preserve">Operator runs lean; set to 0 until cash-flow break-even. Edit when comp begins.</t>
  </si>
  <si>
    <t xml:space="preserve">Contractor / freelance budget (USD/mo)</t>
  </si>
  <si>
    <t xml:space="preserve">Design, content, occasional eng support.</t>
  </si>
  <si>
    <t xml:space="preserve">Contractor budget ramp at month 13 (multiplier)</t>
  </si>
  <si>
    <t xml:space="preserve">Year-2 step-up as wedge accelerates.</t>
  </si>
  <si>
    <t xml:space="preserve">SALES &amp; MARKETING</t>
  </si>
  <si>
    <t xml:space="preserve">Paid acquisition (USD/mo) months 1-6</t>
  </si>
  <si>
    <t xml:space="preserve">Founder-led GTM; minimal paid spend in early months.</t>
  </si>
  <si>
    <t xml:space="preserve">Paid acquisition (USD/mo) months 7-12</t>
  </si>
  <si>
    <t xml:space="preserve">Switch on retargeting + LinkedIn after PMF signal.</t>
  </si>
  <si>
    <t xml:space="preserve">Paid acquisition (USD/mo) months 13-24</t>
  </si>
  <si>
    <t xml:space="preserve">Year-2 wedge: paid funnels into 3-line-of-code quickstart.</t>
  </si>
  <si>
    <t xml:space="preserve">Conferences + community (USD/mo)</t>
  </si>
  <si>
    <t xml:space="preserve">Sponsorships, swag, dev-rel travel pro-rata.</t>
  </si>
  <si>
    <t xml:space="preserve">FUNNEL — BASE SCENARIO (free-trial signups per month)</t>
  </si>
  <si>
    <t xml:space="preserve">Trial signups month 1</t>
  </si>
  <si>
    <t xml:space="preserve">Founder-network + GROWTH_PLAYBOOK.md cohort 1.</t>
  </si>
  <si>
    <t xml:space="preserve">Trial signups month 6</t>
  </si>
  <si>
    <t xml:space="preserve">Post-quickstart funnel turns on.</t>
  </si>
  <si>
    <t xml:space="preserve">Trial signups month 12</t>
  </si>
  <si>
    <t xml:space="preserve">Word-of-mouth + AI agent newsletter coverage.</t>
  </si>
  <si>
    <t xml:space="preserve">Trial signups month 24</t>
  </si>
  <si>
    <t xml:space="preserve">Year-2 wedge fully on.</t>
  </si>
  <si>
    <t xml:space="preserve">CONVERSION &amp; CHURN</t>
  </si>
  <si>
    <t xml:space="preserve">Trial → paid conversion rate (steady state)</t>
  </si>
  <si>
    <t xml:space="preserve">Mid of 12-22% PLG benchmark for dev tools (LinearB / PostHog).</t>
  </si>
  <si>
    <t xml:space="preserve">Conversion ramp months 1-3 (multiplier vs steady)</t>
  </si>
  <si>
    <t xml:space="preserve">Onboarding rough; conversion lower at start.</t>
  </si>
  <si>
    <t xml:space="preserve">Conversion ramp months 4-6 (multiplier vs steady)</t>
  </si>
  <si>
    <t xml:space="preserve">Quickstart polished, conversion approaches steady-state.</t>
  </si>
  <si>
    <t xml:space="preserve">Paid mix - Dev tier share</t>
  </si>
  <si>
    <t xml:space="preserve">Bulk of PLG flow.</t>
  </si>
  <si>
    <t xml:space="preserve">Paid mix - Team tier share</t>
  </si>
  <si>
    <t xml:space="preserve">Sales-assisted motion (Persona B).</t>
  </si>
  <si>
    <t xml:space="preserve">Paid mix - Scale tier share</t>
  </si>
  <si>
    <t xml:space="preserve">Enterprise motion (Persona C); long sales cycle so most show up Y2.</t>
  </si>
  <si>
    <t xml:space="preserve">Monthly logo churn - Dev tier</t>
  </si>
  <si>
    <t xml:space="preserve">PLG dev-tool norm 4-6%/mo.</t>
  </si>
  <si>
    <t xml:space="preserve">Monthly logo churn - Team tier</t>
  </si>
  <si>
    <t xml:space="preserve">Mid-market dev tool norm.</t>
  </si>
  <si>
    <t xml:space="preserve">Monthly logo churn - Scale tier</t>
  </si>
  <si>
    <t xml:space="preserve">Enterprise contract sticky.</t>
  </si>
  <si>
    <t xml:space="preserve">Net revenue retention - Dev tier</t>
  </si>
  <si>
    <t xml:space="preserve">Slight expansion via overage.</t>
  </si>
  <si>
    <t xml:space="preserve">Net revenue retention - Team tier</t>
  </si>
  <si>
    <t xml:space="preserve">Tier upgrades + overage.</t>
  </si>
  <si>
    <t xml:space="preserve">Net revenue retention - Scale tier</t>
  </si>
  <si>
    <t xml:space="preserve">Custom enterprise expansion.</t>
  </si>
  <si>
    <t xml:space="preserve">Avg verifies per month - Dev paid (k)</t>
  </si>
  <si>
    <t xml:space="preserve">Within Dev cap; ~60% utilization of 50K.</t>
  </si>
  <si>
    <t xml:space="preserve">Avg verifies per month - Team paid (k)</t>
  </si>
  <si>
    <t xml:space="preserve">70% utilization of 500K.</t>
  </si>
  <si>
    <t xml:space="preserve">Avg verifies per month - Scale paid (k)</t>
  </si>
  <si>
    <t xml:space="preserve">90% utilization of 5M.</t>
  </si>
  <si>
    <t xml:space="preserve">Overage as % of base subscription rev</t>
  </si>
  <si>
    <t xml:space="preserve">Customers occasionally cross caps.</t>
  </si>
  <si>
    <t xml:space="preserve">SCENARIO MULTIPLIERS (applied to BASE funnel + conversion)</t>
  </si>
  <si>
    <t xml:space="preserve">Bear scenario funnel multiplier</t>
  </si>
  <si>
    <t xml:space="preserve">Slower trial sign-ups (recession / launch slip).</t>
  </si>
  <si>
    <t xml:space="preserve">Bear scenario conversion multiplier</t>
  </si>
  <si>
    <t xml:space="preserve">Worse activation.</t>
  </si>
  <si>
    <t xml:space="preserve">Bull scenario funnel multiplier</t>
  </si>
  <si>
    <t xml:space="preserve">Viral platform-partner integration (LangChain).</t>
  </si>
  <si>
    <t xml:space="preserve">Bull scenario conversion multiplier</t>
  </si>
  <si>
    <t xml:space="preserve">Quickstart exceptional.</t>
  </si>
  <si>
    <t xml:space="preserve">FINANCIAL MISC</t>
  </si>
  <si>
    <t xml:space="preserve">Effective tax rate</t>
  </si>
  <si>
    <t xml:space="preserve">US C-corp federal rate; state varies. Conservative single rate for projection.</t>
  </si>
  <si>
    <t xml:space="preserve">Discount rate (for LTV PV)</t>
  </si>
  <si>
    <t xml:space="preserve">Typical early-stage SaaS LTV discount.</t>
  </si>
  <si>
    <t xml:space="preserve">Working-capital adjustment (% of monthly rev)</t>
  </si>
  <si>
    <t xml:space="preserve">Cash collection lag.</t>
  </si>
  <si>
    <t xml:space="preserve">Cost Stack  —  monthly stack reconciled to operator brief</t>
  </si>
  <si>
    <t xml:space="preserve">All numbers flow from Assumptions; nothing is hardcoded here except month labels.</t>
  </si>
  <si>
    <t xml:space="preserve">Cost line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</si>
  <si>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</si>
  <si>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</si>
  <si>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</si>
  <si>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</si>
  <si>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</si>
  <si>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</si>
  <si>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</si>
  <si>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</si>
  <si>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M09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</si>
  <si>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</si>
  <si>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</si>
  <si>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</si>
  <si>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</si>
  <si>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</si>
  <si>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</si>
  <si>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</si>
  <si>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</si>
  <si>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</si>
  <si>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</si>
  <si>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</si>
  <si>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</si>
  <si>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</si>
  <si>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</si>
  <si>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</si>
  <si>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24mo total</t>
  </si>
  <si>
    <t xml:space="preserve">OPERATOR PERSONAL STACK</t>
  </si>
  <si>
    <t xml:space="preserve">Claude Max plan</t>
  </si>
  <si>
    <t xml:space="preserve">Codex / OpenAI</t>
  </si>
  <si>
    <t xml:space="preserve">Anthropic API (variable, ramps every 6mo)</t>
  </si>
  <si>
    <t xml:space="preserve">KLYTICS SHARED INFRA (allocated)</t>
  </si>
  <si>
    <t xml:space="preserve">KLYTICS infra share to AEGIS</t>
  </si>
  <si>
    <t xml:space="preserve">AEGIS-SPECIFIC INFRA (scales with verifies)</t>
  </si>
  <si>
    <t xml:space="preserve">Railway API pods (baseline × scale)</t>
  </si>
  <si>
    <t xml:space="preserve">Railway Postgres (baseline × scale)</t>
  </si>
  <si>
    <t xml:space="preserve">Redis + BullMQ</t>
  </si>
  <si>
    <t xml:space="preserve">KMS signing baseline</t>
  </si>
  <si>
    <t xml:space="preserve">Cloudflare Workers baseline</t>
  </si>
  <si>
    <t xml:space="preserve">Observability</t>
  </si>
  <si>
    <t xml:space="preserve">VARIABLE COGS (driven by verify volume)</t>
  </si>
  <si>
    <t xml:space="preserve">Variable compute @ verify volume</t>
  </si>
  <si>
    <t xml:space="preserve">HEADCOUNT &amp; CONTRACTORS</t>
  </si>
  <si>
    <t xml:space="preserve">Operator draw</t>
  </si>
  <si>
    <t xml:space="preserve">Contractor / freelance</t>
  </si>
  <si>
    <t xml:space="preserve">Paid acquisition</t>
  </si>
  <si>
    <t xml:space="preserve">Conferences + community</t>
  </si>
  <si>
    <t xml:space="preserve">TOTAL MONTHLY STACK COST</t>
  </si>
  <si>
    <t xml:space="preserve">TOTAL stack cost</t>
  </si>
  <si>
    <t xml:space="preserve">Free-Trial Economics  —  what one trial costs us, what it must return</t>
  </si>
  <si>
    <t xml:space="preserve">Drives conversion-rate threshold below which the free trial loses money.</t>
  </si>
  <si>
    <t xml:space="preserve">Metric</t>
  </si>
  <si>
    <t xml:space="preserve">Derivation</t>
  </si>
  <si>
    <t xml:space="preserve">Free verifies granted per trial</t>
  </si>
  <si>
    <t xml:space="preserve">Operator decision: usage-cap (10K), no time-cap. Conversion lever = hitting the cap.</t>
  </si>
  <si>
    <t xml:space="preserve">Marginal compute cost per verify (USD)</t>
  </si>
  <si>
    <t xml:space="preserve">$5/M ÷ 1M (CAPACITY_PLAN.md §11.2).</t>
  </si>
  <si>
    <t xml:space="preserve">Marginal compute cost of one full trial (USD)</t>
  </si>
  <si>
    <t xml:space="preserve">verifies × per-verify cost.</t>
  </si>
  <si>
    <t xml:space="preserve">Avg trial completion (% of cap actually used)</t>
  </si>
  <si>
    <t xml:space="preserve">Most trials don't hit cap. Hardcoded blue input — flex on real data.</t>
  </si>
  <si>
    <t xml:space="preserve">Expected variable compute / trial (USD)</t>
  </si>
  <si>
    <t xml:space="preserve">Compute × avg completion.</t>
  </si>
  <si>
    <t xml:space="preserve">Support + ops loaded cost / trial (USD)</t>
  </si>
  <si>
    <t xml:space="preserve">Email support, doc hosting, fraud screening. Blue — flex over time.</t>
  </si>
  <si>
    <t xml:space="preserve">Paid-acquisition cost per trial (USD, blended)</t>
  </si>
  <si>
    <t xml:space="preserve">Total paid-acq spend ÷ total trials. Patched after Funnel sheet built.</t>
  </si>
  <si>
    <t xml:space="preserve">Fully-loaded cost per trial (USD)</t>
  </si>
  <si>
    <t xml:space="preserve">Variable + ops + acquisition.</t>
  </si>
  <si>
    <t xml:space="preserve">Blended ARPU month-1 (USD)</t>
  </si>
  <si>
    <t xml:space="preserve">Mix-weighted average tier price.</t>
  </si>
  <si>
    <t xml:space="preserve">Implied break-even conversion rate (one-time, ARPU-based)</t>
  </si>
  <si>
    <t xml:space="preserve">Cost-per-trial ÷ first-month ARPU.</t>
  </si>
  <si>
    <t xml:space="preserve">Blended LTV (USD, undiscounted)</t>
  </si>
  <si>
    <t xml:space="preserve">Cross-link to UnitEcon!E15 (blended NRR-adjusted LTV).</t>
  </si>
  <si>
    <t xml:space="preserve">Implied break-even conversion rate (LTV-based)</t>
  </si>
  <si>
    <t xml:space="preserve">Cost-per-trial ÷ blended LTV. Lower = more headroom.</t>
  </si>
  <si>
    <t xml:space="preserve">Modeled conversion rate (steady state)</t>
  </si>
  <si>
    <t xml:space="preserve">From Assumptions; compare to break-even rate above.</t>
  </si>
  <si>
    <t xml:space="preserve">Headroom (modeled − LTV-based break-even)</t>
  </si>
  <si>
    <t xml:space="preserve">Positive = trial is profitable in expectation.</t>
  </si>
  <si>
    <t xml:space="preserve">Funnel — 24 months  (BASE scenario; multipliers on Scenarios tab)</t>
  </si>
  <si>
    <t xml:space="preserve">Trial sign-ups → conversions → cumulative paid customers → verify volume.</t>
  </si>
  <si>
    <t xml:space="preserve">Trial sign-ups</t>
  </si>
  <si>
    <t xml:space="preserve">Effective conversion rate</t>
  </si>
  <si>
    <t xml:space="preserve">New paid customers</t>
  </si>
  <si>
    <t xml:space="preserve">  ↳ new Dev tier</t>
  </si>
  <si>
    <t xml:space="preserve">  ↳ new Team tier</t>
  </si>
  <si>
    <t xml:space="preserve">  ↳ new Scale tier</t>
  </si>
  <si>
    <t xml:space="preserve">ACTIVE PAID CUSTOMERS (cohort with churn)</t>
  </si>
  <si>
    <t xml:space="preserve">Active Dev customers</t>
  </si>
  <si>
    <t xml:space="preserve">Active Team customers</t>
  </si>
  <si>
    <t xml:space="preserve">Active Scale customers</t>
  </si>
  <si>
    <t xml:space="preserve">Total active paid customers</t>
  </si>
  <si>
    <t xml:space="preserve">VERIFY VOLUME</t>
  </si>
  <si>
    <t xml:space="preserve">Paid verifies (M) — Dev</t>
  </si>
  <si>
    <t xml:space="preserve">Paid verifies (M) — Team</t>
  </si>
  <si>
    <t xml:space="preserve">Paid verifies (M) — Scale</t>
  </si>
  <si>
    <t xml:space="preserve">Trial verifies (M) — free traffic</t>
  </si>
  <si>
    <t xml:space="preserve">Total verifies (M)</t>
  </si>
  <si>
    <t xml:space="preserve">P&amp;L  —  24 months</t>
  </si>
  <si>
    <t xml:space="preserve">Revenue minus COGS minus OpEx; tax applied on positive months.</t>
  </si>
  <si>
    <t xml:space="preserve">Line</t>
  </si>
  <si>
    <t xml:space="preserve">REVENUE</t>
  </si>
  <si>
    <t xml:space="preserve">Subscription — Dev</t>
  </si>
  <si>
    <t xml:space="preserve">Subscription — Team</t>
  </si>
  <si>
    <t xml:space="preserve">Subscription — Scale</t>
  </si>
  <si>
    <t xml:space="preserve">Subscription subtotal</t>
  </si>
  <si>
    <t xml:space="preserve">Overage revenue</t>
  </si>
  <si>
    <t xml:space="preserve">TOTAL REVENUE</t>
  </si>
  <si>
    <t xml:space="preserve">COST OF GOODS SOLD</t>
  </si>
  <si>
    <t xml:space="preserve">Variable compute (verify volume)</t>
  </si>
  <si>
    <t xml:space="preserve">Stripe processing</t>
  </si>
  <si>
    <t xml:space="preserve">TOTAL COGS</t>
  </si>
  <si>
    <t xml:space="preserve">GROSS PROFIT</t>
  </si>
  <si>
    <t xml:space="preserve">Gross margin %</t>
  </si>
  <si>
    <t xml:space="preserve">OPERATING EXPENSE (everything in Cost_Stack except variable COGS)</t>
  </si>
  <si>
    <t xml:space="preserve">Operator personal stack ($223 + $20 + API)</t>
  </si>
  <si>
    <t xml:space="preserve">KLYTICS shared infra (allocated)</t>
  </si>
  <si>
    <t xml:space="preserve">AEGIS infra baseline</t>
  </si>
  <si>
    <t xml:space="preserve">Headcount + contractors</t>
  </si>
  <si>
    <t xml:space="preserve">Sales &amp; marketing</t>
  </si>
  <si>
    <t xml:space="preserve">TOTAL OPEX</t>
  </si>
  <si>
    <t xml:space="preserve">OPERATING INCOME (EBITDA proxy)</t>
  </si>
  <si>
    <t xml:space="preserve">Tax (only on positive months)</t>
  </si>
  <si>
    <t xml:space="preserve">NET INCOME</t>
  </si>
  <si>
    <t xml:space="preserve">Cash Flow  —  24 months  (operating cash + cumulative balance)</t>
  </si>
  <si>
    <t xml:space="preserve">Identifies the cash trough — the deepest cumulative drawdown the operator must cover.</t>
  </si>
  <si>
    <t xml:space="preserve">Net income (from PnL)</t>
  </si>
  <si>
    <t xml:space="preserve">Working-capital adjustment (revenue lag)</t>
  </si>
  <si>
    <t xml:space="preserve">Operating cash flow</t>
  </si>
  <si>
    <t xml:space="preserve">Cumulative cash position</t>
  </si>
  <si>
    <t xml:space="preserve">Trough month index (worst cumulative)</t>
  </si>
  <si>
    <t xml:space="preserve">Trough cash position (USD)</t>
  </si>
  <si>
    <t xml:space="preserve">Months to operating-cash break-even (first positive OCF month)</t>
  </si>
  <si>
    <t xml:space="preserve">Unit Economics  —  per-customer LTV / CAC / payback</t>
  </si>
  <si>
    <t xml:space="preserve">Dev</t>
  </si>
  <si>
    <t xml:space="preserve">Team</t>
  </si>
  <si>
    <t xml:space="preserve">Scale</t>
  </si>
  <si>
    <t xml:space="preserve">Blended</t>
  </si>
  <si>
    <t xml:space="preserve">Notes</t>
  </si>
  <si>
    <t xml:space="preserve">Monthly subscription price</t>
  </si>
  <si>
    <t xml:space="preserve">From Assumptions.</t>
  </si>
  <si>
    <t xml:space="preserve">Avg overage rev / customer / mo</t>
  </si>
  <si>
    <t xml:space="preserve">Subscription × overage share.</t>
  </si>
  <si>
    <t xml:space="preserve">Total monthly revenue / customer</t>
  </si>
  <si>
    <t xml:space="preserve">Variable compute / customer / mo</t>
  </si>
  <si>
    <t xml:space="preserve">Stripe processing / customer / mo</t>
  </si>
  <si>
    <t xml:space="preserve">Gross profit / customer / mo</t>
  </si>
  <si>
    <t xml:space="preserve">Monthly logo churn</t>
  </si>
  <si>
    <t xml:space="preserve">Avg customer lifetime (months)</t>
  </si>
  <si>
    <t xml:space="preserve">Net revenue retention (annualized)</t>
  </si>
  <si>
    <t xml:space="preserve">Simple LTV (gp/mo × lifetime, no NRR)</t>
  </si>
  <si>
    <t xml:space="preserve">NRR-adjusted LTV</t>
  </si>
  <si>
    <t xml:space="preserve">PV LTV (discounted)</t>
  </si>
  <si>
    <t xml:space="preserve">Blended LTV (used by Trial_Economics)</t>
  </si>
  <si>
    <t xml:space="preserve">CAC ceiling at 3x LTV/CAC target</t>
  </si>
  <si>
    <t xml:space="preserve">Payback months @ break-even CAC</t>
  </si>
  <si>
    <t xml:space="preserve">Scenarios  —  Bear / Base / Bull side-by-side</t>
  </si>
  <si>
    <t xml:space="preserve">Active scenario (informational)</t>
  </si>
  <si>
    <t xml:space="preserve">Base</t>
  </si>
  <si>
    <t xml:space="preserve">Bear</t>
  </si>
  <si>
    <t xml:space="preserve">Bull</t>
  </si>
  <si>
    <t xml:space="preserve">Funnel multiplier</t>
  </si>
  <si>
    <t xml:space="preserve">1.00</t>
  </si>
  <si>
    <t xml:space="preserve">Applied to all monthly trial sign-ups.</t>
  </si>
  <si>
    <t xml:space="preserve">Conversion multiplier</t>
  </si>
  <si>
    <t xml:space="preserve">Applied to steady-state conversion rate.</t>
  </si>
  <si>
    <t xml:space="preserve">Implied 24-mo trials</t>
  </si>
  <si>
    <t xml:space="preserve">Shows total free-trial sign-ups under each scenario.</t>
  </si>
  <si>
    <t xml:space="preserve">Implied 24-mo paid customers (cumulative new)</t>
  </si>
  <si>
    <t xml:space="preserve">Multiplier compounds funnel × conversion.</t>
  </si>
  <si>
    <t xml:space="preserve">Implied 24-mo total revenue</t>
  </si>
  <si>
    <t xml:space="preserve">Linear approximation; exact scenario rebuild would re-run cohort math.</t>
  </si>
  <si>
    <t xml:space="preserve">Implied 24-mo total cost</t>
  </si>
  <si>
    <t xml:space="preserve">OpEx mostly fixed; COGS scales sub-linearly with traffic.</t>
  </si>
  <si>
    <t xml:space="preserve">Implied 24-mo net income</t>
  </si>
  <si>
    <t xml:space="preserve">Revenue − total cost. Approximation; for accurate scenario re-run, rebuild Funnel with multipliers.</t>
  </si>
  <si>
    <t xml:space="preserve">Implied trough cash position</t>
  </si>
  <si>
    <t xml:space="preserve">Cell ref reads trough; multipliers approximate scenario shift.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</si>
</sst>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#,##0;\(#,##0\);\-"/>
    <numFmt numFmtId="167" formatCode="_(\$* #,##0.00_);_(\$* \(#,##0.00\);_(\$* \-??_);_(@_)"/>
    <numFmt numFmtId="168" formatCode="0.0%;\(0.0%\);\-"/>
    <numFmt numFmtId="169" formatCode="0.0\x"/>
    <numFmt numFmtId="170" formatCode="#,##0.000;\(#,##0.000\);\-"/>
    <numFmt numFmtId="171" formatCode="0.0;\(0.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5E8F0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D5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7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6" fontId="7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7.5" hidden="false" customHeight="true" outlineLevel="0" collapsed="false">
      <c r="A3" s="4"/>
    </row>
    <row r="4" customFormat="false" ht="18" hidden="false" customHeight="true" outlineLevel="0" collapsed="false">
      <c r="A4" s="5" t="s">
        <v>2</v>
      </c>
    </row>
    <row r="5" customFormat="false" ht="18" hidden="false" customHeight="true" outlineLevel="0" collapsed="false">
      <c r="A5" s="4" t="s">
        <v>3</v>
      </c>
    </row>
    <row r="6" customFormat="false" ht="7.5" hidden="false" customHeight="true" outlineLevel="0" collapsed="false">
      <c r="A6" s="4"/>
    </row>
    <row r="7" customFormat="false" ht="18" hidden="false" customHeight="true" outlineLevel="0" collapsed="false">
      <c r="A7" s="5" t="s">
        <v>4</v>
      </c>
    </row>
    <row r="8" customFormat="false" ht="18" hidden="false" customHeight="true" outlineLevel="0" collapsed="false">
      <c r="A8" s="4" t="s">
        <v>5</v>
      </c>
    </row>
    <row r="9" customFormat="false" ht="18" hidden="false" customHeight="true" outlineLevel="0" collapsed="false">
      <c r="A9" s="4" t="s">
        <v>6</v>
      </c>
    </row>
    <row r="10" customFormat="false" ht="18" hidden="false" customHeight="true" outlineLevel="0" collapsed="false">
      <c r="A10" s="4" t="s">
        <v>7</v>
      </c>
    </row>
    <row r="11" customFormat="false" ht="7.5" hidden="false" customHeight="true" outlineLevel="0" collapsed="false">
      <c r="A11" s="4"/>
    </row>
    <row r="12" customFormat="false" ht="18" hidden="false" customHeight="true" outlineLevel="0" collapsed="false">
      <c r="A12" s="5" t="s">
        <v>8</v>
      </c>
    </row>
    <row r="13" customFormat="false" ht="18" hidden="false" customHeight="true" outlineLevel="0" collapsed="false">
      <c r="A13" s="4" t="s">
        <v>9</v>
      </c>
    </row>
    <row r="14" customFormat="false" ht="18" hidden="false" customHeight="true" outlineLevel="0" collapsed="false">
      <c r="A14" s="4" t="s">
        <v>10</v>
      </c>
    </row>
    <row r="15" customFormat="false" ht="18" hidden="false" customHeight="true" outlineLevel="0" collapsed="false">
      <c r="A15" s="4" t="s">
        <v>11</v>
      </c>
    </row>
    <row r="16" customFormat="false" ht="18" hidden="false" customHeight="true" outlineLevel="0" collapsed="false">
      <c r="A16" s="4" t="s">
        <v>12</v>
      </c>
    </row>
    <row r="17" customFormat="false" ht="18" hidden="false" customHeight="true" outlineLevel="0" collapsed="false">
      <c r="A17" s="4" t="s">
        <v>13</v>
      </c>
    </row>
    <row r="18" customFormat="false" ht="18" hidden="false" customHeight="true" outlineLevel="0" collapsed="false">
      <c r="A18" s="4" t="s">
        <v>14</v>
      </c>
    </row>
    <row r="19" customFormat="false" ht="18" hidden="false" customHeight="true" outlineLevel="0" collapsed="false">
      <c r="A19" s="4" t="s">
        <v>15</v>
      </c>
    </row>
    <row r="20" customFormat="false" ht="18" hidden="false" customHeight="true" outlineLevel="0" collapsed="false">
      <c r="A20" s="4" t="s">
        <v>16</v>
      </c>
    </row>
    <row r="21" customFormat="false" ht="7.5" hidden="false" customHeight="true" outlineLevel="0" collapsed="false">
      <c r="A21" s="4"/>
    </row>
    <row r="22" customFormat="false" ht="18" hidden="false" customHeight="true" outlineLevel="0" collapsed="false">
      <c r="A22" s="4" t="s">
        <v>17</v>
      </c>
    </row>
    <row r="23" customFormat="false" ht="18" hidden="false" customHeight="true" outlineLevel="0" collapsed="false">
      <c r="A23" s="4" t="s">
        <v>18</v>
      </c>
    </row>
    <row r="24" customFormat="false" ht="18" hidden="false" customHeight="true" outlineLevel="0" collapsed="false">
      <c r="A24" s="4" t="s">
        <v>19</v>
      </c>
    </row>
    <row r="25" customFormat="false" ht="18" hidden="false" customHeight="true" outlineLevel="0" collapsed="false">
      <c r="A25" s="4" t="s">
        <v>20</v>
      </c>
    </row>
    <row r="26" customFormat="false" ht="18" hidden="false" customHeight="true" outlineLevel="0" collapsed="false">
      <c r="A26" s="4" t="s">
        <v>21</v>
      </c>
    </row>
    <row r="27" customFormat="false" ht="7.5" hidden="false" customHeight="true" outlineLevel="0" collapsed="false">
      <c r="A27" s="4"/>
    </row>
    <row r="28" customFormat="false" ht="18" hidden="false" customHeight="true" outlineLevel="0" collapsed="false">
      <c r="A28" s="5" t="s">
        <v>22</v>
      </c>
    </row>
    <row r="29" customFormat="false" ht="18" hidden="false" customHeight="true" outlineLevel="0" collapsed="false">
      <c r="A29" s="4" t="s">
        <v>23</v>
      </c>
    </row>
    <row r="30" customFormat="false" ht="18" hidden="false" customHeight="true" outlineLevel="0" collapsed="false">
      <c r="A30" s="4" t="s">
        <v>24</v>
      </c>
    </row>
    <row r="31" customFormat="false" ht="18" hidden="false" customHeight="true" outlineLevel="0" collapsed="false">
      <c r="A31" s="4" t="s">
        <v>25</v>
      </c>
    </row>
    <row r="32" customFormat="false" ht="18" hidden="false" customHeight="true" outlineLevel="0" collapsed="false">
      <c r="A32" s="4" t="s">
        <v>26</v>
      </c>
    </row>
    <row r="33" customFormat="false" ht="7.5" hidden="false" customHeight="true" outlineLevel="0" collapsed="false">
      <c r="A33" s="4"/>
    </row>
    <row r="34" customFormat="false" ht="18" hidden="false" customHeight="true" outlineLevel="0" collapsed="false">
      <c r="A34" s="5" t="s">
        <v>27</v>
      </c>
    </row>
    <row r="35" customFormat="false" ht="18" hidden="false" customHeight="true" outlineLevel="0" collapsed="false">
      <c r="A35" s="4" t="s">
        <v>28</v>
      </c>
    </row>
    <row r="36" customFormat="false" ht="18" hidden="false" customHeight="true" outlineLevel="0" collapsed="false">
      <c r="A36" s="4" t="s">
        <v>29</v>
      </c>
    </row>
    <row r="37" customFormat="false" ht="7.5" hidden="false" customHeight="true" outlineLevel="0" collapsed="false">
      <c r="A37" s="4"/>
    </row>
    <row r="38" customFormat="false" ht="18" hidden="false" customHeight="true" outlineLevel="0" collapsed="false">
      <c r="A38" s="5" t="s">
        <v>30</v>
      </c>
    </row>
    <row r="39" customFormat="false" ht="18" hidden="false" customHeight="true" outlineLevel="0" collapsed="false">
      <c r="A39" s="4" t="s">
        <v>31</v>
      </c>
    </row>
    <row r="40" customFormat="false" ht="18" hidden="false" customHeight="true" outlineLevel="0" collapsed="false">
      <c r="A40" s="4" t="s">
        <v>32</v>
      </c>
    </row>
    <row r="41" customFormat="false" ht="18" hidden="false" customHeight="true" outlineLevel="0" collapsed="false">
      <c r="A41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70"/>
  </cols>
  <sheetData>
    <row r="1" customFormat="false" ht="17.35" hidden="false" customHeight="false" outlineLevel="0" collapsed="false">
      <c r="A1" s="2" t="s">
        <v>34</v>
      </c>
    </row>
    <row r="3" customFormat="false" ht="15" hidden="false" customHeight="false" outlineLevel="0" collapsed="false">
      <c r="A3" s="6" t="s">
        <v>35</v>
      </c>
      <c r="B3" s="6" t="s">
        <v>36</v>
      </c>
      <c r="C3" s="6" t="s">
        <v>37</v>
      </c>
    </row>
    <row r="4" customFormat="false" ht="15" hidden="false" customHeight="true" outlineLevel="0" collapsed="false">
      <c r="A4" s="7" t="s">
        <v>38</v>
      </c>
      <c r="B4" s="7"/>
      <c r="C4" s="7"/>
    </row>
    <row r="5" customFormat="false" ht="15" hidden="false" customHeight="false" outlineLevel="0" collapsed="false">
      <c r="A5" s="8" t="s">
        <v>39</v>
      </c>
      <c r="B5" s="9" t="n">
        <v>49</v>
      </c>
      <c r="C5" s="10" t="s">
        <v>40</v>
      </c>
    </row>
    <row r="6" customFormat="false" ht="15" hidden="false" customHeight="false" outlineLevel="0" collapsed="false">
      <c r="A6" s="8" t="s">
        <v>41</v>
      </c>
      <c r="B6" s="11" t="n">
        <v>50000</v>
      </c>
      <c r="C6" s="10" t="s">
        <v>42</v>
      </c>
    </row>
    <row r="7" customFormat="false" ht="15" hidden="false" customHeight="false" outlineLevel="0" collapsed="false">
      <c r="A7" s="8" t="s">
        <v>43</v>
      </c>
      <c r="B7" s="9" t="n">
        <v>299</v>
      </c>
      <c r="C7" s="10" t="s">
        <v>44</v>
      </c>
    </row>
    <row r="8" customFormat="false" ht="15" hidden="false" customHeight="false" outlineLevel="0" collapsed="false">
      <c r="A8" s="8" t="s">
        <v>45</v>
      </c>
      <c r="B8" s="11" t="n">
        <v>500000</v>
      </c>
      <c r="C8" s="10" t="s">
        <v>46</v>
      </c>
    </row>
    <row r="9" customFormat="false" ht="15" hidden="false" customHeight="false" outlineLevel="0" collapsed="false">
      <c r="A9" s="8" t="s">
        <v>47</v>
      </c>
      <c r="B9" s="9" t="n">
        <v>1499</v>
      </c>
      <c r="C9" s="10" t="s">
        <v>48</v>
      </c>
    </row>
    <row r="10" customFormat="false" ht="15" hidden="false" customHeight="false" outlineLevel="0" collapsed="false">
      <c r="A10" s="8" t="s">
        <v>49</v>
      </c>
      <c r="B10" s="11" t="n">
        <v>5000000</v>
      </c>
      <c r="C10" s="10" t="s">
        <v>50</v>
      </c>
    </row>
    <row r="11" customFormat="false" ht="15" hidden="false" customHeight="false" outlineLevel="0" collapsed="false">
      <c r="A11" s="8" t="s">
        <v>51</v>
      </c>
      <c r="B11" s="12" t="n">
        <v>0.0008</v>
      </c>
      <c r="C11" s="10" t="s">
        <v>52</v>
      </c>
    </row>
    <row r="12" customFormat="false" ht="15" hidden="false" customHeight="false" outlineLevel="0" collapsed="false">
      <c r="A12" s="8" t="s">
        <v>53</v>
      </c>
      <c r="B12" s="13" t="n">
        <v>10000</v>
      </c>
      <c r="C12" s="10" t="s">
        <v>54</v>
      </c>
    </row>
    <row r="14" customFormat="false" ht="15" hidden="false" customHeight="true" outlineLevel="0" collapsed="false">
      <c r="A14" s="7" t="s">
        <v>55</v>
      </c>
      <c r="B14" s="7"/>
      <c r="C14" s="7"/>
    </row>
    <row r="15" customFormat="false" ht="15" hidden="false" customHeight="false" outlineLevel="0" collapsed="false">
      <c r="A15" s="8" t="s">
        <v>56</v>
      </c>
      <c r="B15" s="12" t="n">
        <v>5</v>
      </c>
      <c r="C15" s="10" t="s">
        <v>57</v>
      </c>
    </row>
    <row r="16" customFormat="false" ht="15" hidden="false" customHeight="false" outlineLevel="0" collapsed="false">
      <c r="A16" s="8" t="s">
        <v>58</v>
      </c>
      <c r="B16" s="14" t="n">
        <v>0.5</v>
      </c>
      <c r="C16" s="10" t="s">
        <v>59</v>
      </c>
    </row>
    <row r="17" customFormat="false" ht="15" hidden="false" customHeight="false" outlineLevel="0" collapsed="false">
      <c r="A17" s="8" t="s">
        <v>60</v>
      </c>
      <c r="B17" s="14" t="n">
        <v>0.029</v>
      </c>
      <c r="C17" s="10" t="s">
        <v>61</v>
      </c>
    </row>
    <row r="18" customFormat="false" ht="15" hidden="false" customHeight="false" outlineLevel="0" collapsed="false">
      <c r="A18" s="8" t="s">
        <v>62</v>
      </c>
      <c r="B18" s="15" t="n">
        <v>0.3</v>
      </c>
      <c r="C18" s="10" t="s">
        <v>63</v>
      </c>
    </row>
    <row r="20" customFormat="false" ht="15" hidden="false" customHeight="true" outlineLevel="0" collapsed="false">
      <c r="A20" s="7" t="s">
        <v>64</v>
      </c>
      <c r="B20" s="7"/>
      <c r="C20" s="7"/>
    </row>
    <row r="21" customFormat="false" ht="15" hidden="false" customHeight="false" outlineLevel="0" collapsed="false">
      <c r="A21" s="8" t="s">
        <v>65</v>
      </c>
      <c r="B21" s="9" t="n">
        <v>223</v>
      </c>
      <c r="C21" s="10" t="s">
        <v>66</v>
      </c>
    </row>
    <row r="22" customFormat="false" ht="15" hidden="false" customHeight="false" outlineLevel="0" collapsed="false">
      <c r="A22" s="8" t="s">
        <v>67</v>
      </c>
      <c r="B22" s="9" t="n">
        <v>20</v>
      </c>
      <c r="C22" s="10" t="s">
        <v>66</v>
      </c>
    </row>
    <row r="23" customFormat="false" ht="15" hidden="false" customHeight="false" outlineLevel="0" collapsed="false">
      <c r="A23" s="8" t="s">
        <v>68</v>
      </c>
      <c r="B23" s="9" t="n">
        <v>350</v>
      </c>
      <c r="C23" s="10" t="s">
        <v>69</v>
      </c>
    </row>
    <row r="24" customFormat="false" ht="15" hidden="false" customHeight="false" outlineLevel="0" collapsed="false">
      <c r="A24" s="8" t="s">
        <v>70</v>
      </c>
      <c r="B24" s="16" t="n">
        <v>1.4</v>
      </c>
      <c r="C24" s="10" t="s">
        <v>71</v>
      </c>
    </row>
    <row r="26" customFormat="false" ht="15" hidden="false" customHeight="true" outlineLevel="0" collapsed="false">
      <c r="A26" s="7" t="s">
        <v>72</v>
      </c>
      <c r="B26" s="7"/>
      <c r="C26" s="7"/>
    </row>
    <row r="27" customFormat="false" ht="22.35" hidden="false" customHeight="false" outlineLevel="0" collapsed="false">
      <c r="A27" s="8" t="s">
        <v>73</v>
      </c>
      <c r="B27" s="9" t="n">
        <v>340</v>
      </c>
      <c r="C27" s="10" t="s">
        <v>74</v>
      </c>
    </row>
    <row r="28" customFormat="false" ht="22.35" hidden="false" customHeight="false" outlineLevel="0" collapsed="false">
      <c r="A28" s="8" t="s">
        <v>75</v>
      </c>
      <c r="B28" s="17" t="n">
        <v>0.4</v>
      </c>
      <c r="C28" s="10" t="s">
        <v>76</v>
      </c>
    </row>
    <row r="30" customFormat="false" ht="15" hidden="false" customHeight="true" outlineLevel="0" collapsed="false">
      <c r="A30" s="7" t="s">
        <v>77</v>
      </c>
      <c r="B30" s="7"/>
      <c r="C30" s="7"/>
    </row>
    <row r="31" customFormat="false" ht="15" hidden="false" customHeight="false" outlineLevel="0" collapsed="false">
      <c r="A31" s="8" t="s">
        <v>78</v>
      </c>
      <c r="B31" s="18" t="n">
        <v>120</v>
      </c>
      <c r="C31" s="10" t="s">
        <v>79</v>
      </c>
    </row>
    <row r="32" customFormat="false" ht="15" hidden="false" customHeight="false" outlineLevel="0" collapsed="false">
      <c r="A32" s="8" t="s">
        <v>80</v>
      </c>
      <c r="B32" s="18" t="n">
        <v>250</v>
      </c>
      <c r="C32" s="10" t="s">
        <v>81</v>
      </c>
    </row>
    <row r="33" customFormat="false" ht="15" hidden="false" customHeight="false" outlineLevel="0" collapsed="false">
      <c r="A33" s="8" t="s">
        <v>82</v>
      </c>
      <c r="B33" s="18" t="n">
        <v>30</v>
      </c>
      <c r="C33" s="10" t="s">
        <v>83</v>
      </c>
    </row>
    <row r="34" customFormat="false" ht="15" hidden="false" customHeight="false" outlineLevel="0" collapsed="false">
      <c r="A34" s="8" t="s">
        <v>84</v>
      </c>
      <c r="B34" s="18" t="n">
        <v>40</v>
      </c>
      <c r="C34" s="10" t="s">
        <v>85</v>
      </c>
    </row>
    <row r="35" customFormat="false" ht="15" hidden="false" customHeight="false" outlineLevel="0" collapsed="false">
      <c r="A35" s="8" t="s">
        <v>86</v>
      </c>
      <c r="B35" s="18" t="n">
        <v>25</v>
      </c>
      <c r="C35" s="10" t="s">
        <v>87</v>
      </c>
    </row>
    <row r="36" customFormat="false" ht="15" hidden="false" customHeight="false" outlineLevel="0" collapsed="false">
      <c r="A36" s="8" t="s">
        <v>88</v>
      </c>
      <c r="B36" s="18" t="n">
        <v>50</v>
      </c>
      <c r="C36" s="10" t="s">
        <v>89</v>
      </c>
    </row>
    <row r="37" customFormat="false" ht="15" hidden="false" customHeight="false" outlineLevel="0" collapsed="false">
      <c r="A37" s="8" t="s">
        <v>90</v>
      </c>
      <c r="B37" s="16" t="n">
        <v>1</v>
      </c>
      <c r="C37" s="10" t="s">
        <v>91</v>
      </c>
    </row>
    <row r="39" customFormat="false" ht="15" hidden="false" customHeight="true" outlineLevel="0" collapsed="false">
      <c r="A39" s="7" t="s">
        <v>92</v>
      </c>
      <c r="B39" s="7"/>
      <c r="C39" s="7"/>
    </row>
    <row r="40" customFormat="false" ht="15" hidden="false" customHeight="false" outlineLevel="0" collapsed="false">
      <c r="A40" s="8" t="s">
        <v>93</v>
      </c>
      <c r="B40" s="9" t="n">
        <v>0</v>
      </c>
      <c r="C40" s="10" t="s">
        <v>94</v>
      </c>
    </row>
    <row r="41" customFormat="false" ht="15" hidden="false" customHeight="false" outlineLevel="0" collapsed="false">
      <c r="A41" s="8" t="s">
        <v>95</v>
      </c>
      <c r="B41" s="18" t="n">
        <v>500</v>
      </c>
      <c r="C41" s="10" t="s">
        <v>96</v>
      </c>
    </row>
    <row r="42" customFormat="false" ht="15" hidden="false" customHeight="false" outlineLevel="0" collapsed="false">
      <c r="A42" s="8" t="s">
        <v>97</v>
      </c>
      <c r="B42" s="16" t="n">
        <v>4</v>
      </c>
      <c r="C42" s="10" t="s">
        <v>98</v>
      </c>
    </row>
    <row r="44" customFormat="false" ht="15" hidden="false" customHeight="true" outlineLevel="0" collapsed="false">
      <c r="A44" s="7" t="s">
        <v>99</v>
      </c>
      <c r="B44" s="7"/>
      <c r="C44" s="7"/>
    </row>
    <row r="45" customFormat="false" ht="15" hidden="false" customHeight="false" outlineLevel="0" collapsed="false">
      <c r="A45" s="8" t="s">
        <v>100</v>
      </c>
      <c r="B45" s="18" t="n">
        <v>200</v>
      </c>
      <c r="C45" s="10" t="s">
        <v>101</v>
      </c>
    </row>
    <row r="46" customFormat="false" ht="15" hidden="false" customHeight="false" outlineLevel="0" collapsed="false">
      <c r="A46" s="8" t="s">
        <v>102</v>
      </c>
      <c r="B46" s="9" t="n">
        <v>1500</v>
      </c>
      <c r="C46" s="10" t="s">
        <v>103</v>
      </c>
    </row>
    <row r="47" customFormat="false" ht="15" hidden="false" customHeight="false" outlineLevel="0" collapsed="false">
      <c r="A47" s="8" t="s">
        <v>104</v>
      </c>
      <c r="B47" s="9" t="n">
        <v>5000</v>
      </c>
      <c r="C47" s="10" t="s">
        <v>105</v>
      </c>
    </row>
    <row r="48" customFormat="false" ht="15" hidden="false" customHeight="false" outlineLevel="0" collapsed="false">
      <c r="A48" s="8" t="s">
        <v>106</v>
      </c>
      <c r="B48" s="18" t="n">
        <v>300</v>
      </c>
      <c r="C48" s="10" t="s">
        <v>107</v>
      </c>
    </row>
    <row r="50" customFormat="false" ht="15" hidden="false" customHeight="true" outlineLevel="0" collapsed="false">
      <c r="A50" s="7" t="s">
        <v>108</v>
      </c>
      <c r="B50" s="7"/>
      <c r="C50" s="7"/>
    </row>
    <row r="51" customFormat="false" ht="15" hidden="false" customHeight="false" outlineLevel="0" collapsed="false">
      <c r="A51" s="8" t="s">
        <v>109</v>
      </c>
      <c r="B51" s="11" t="n">
        <v>50</v>
      </c>
      <c r="C51" s="10" t="s">
        <v>110</v>
      </c>
    </row>
    <row r="52" customFormat="false" ht="15" hidden="false" customHeight="false" outlineLevel="0" collapsed="false">
      <c r="A52" s="8" t="s">
        <v>111</v>
      </c>
      <c r="B52" s="13" t="n">
        <v>900</v>
      </c>
      <c r="C52" s="10" t="s">
        <v>112</v>
      </c>
    </row>
    <row r="53" customFormat="false" ht="15" hidden="false" customHeight="false" outlineLevel="0" collapsed="false">
      <c r="A53" s="8" t="s">
        <v>113</v>
      </c>
      <c r="B53" s="13" t="n">
        <v>3000</v>
      </c>
      <c r="C53" s="10" t="s">
        <v>114</v>
      </c>
    </row>
    <row r="54" customFormat="false" ht="15" hidden="false" customHeight="false" outlineLevel="0" collapsed="false">
      <c r="A54" s="8" t="s">
        <v>115</v>
      </c>
      <c r="B54" s="13" t="n">
        <v>8000</v>
      </c>
      <c r="C54" s="10" t="s">
        <v>116</v>
      </c>
    </row>
    <row r="56" customFormat="false" ht="15" hidden="false" customHeight="true" outlineLevel="0" collapsed="false">
      <c r="A56" s="7" t="s">
        <v>117</v>
      </c>
      <c r="B56" s="7"/>
      <c r="C56" s="7"/>
    </row>
    <row r="57" customFormat="false" ht="15" hidden="false" customHeight="false" outlineLevel="0" collapsed="false">
      <c r="A57" s="8" t="s">
        <v>118</v>
      </c>
      <c r="B57" s="17" t="n">
        <v>0.18</v>
      </c>
      <c r="C57" s="10" t="s">
        <v>119</v>
      </c>
    </row>
    <row r="58" customFormat="false" ht="15" hidden="false" customHeight="false" outlineLevel="0" collapsed="false">
      <c r="A58" s="8" t="s">
        <v>120</v>
      </c>
      <c r="B58" s="16" t="n">
        <v>0.4</v>
      </c>
      <c r="C58" s="10" t="s">
        <v>121</v>
      </c>
    </row>
    <row r="59" customFormat="false" ht="15" hidden="false" customHeight="false" outlineLevel="0" collapsed="false">
      <c r="A59" s="8" t="s">
        <v>122</v>
      </c>
      <c r="B59" s="16" t="n">
        <v>0.7</v>
      </c>
      <c r="C59" s="10" t="s">
        <v>123</v>
      </c>
    </row>
    <row r="60" customFormat="false" ht="15" hidden="false" customHeight="false" outlineLevel="0" collapsed="false">
      <c r="A60" s="8" t="s">
        <v>124</v>
      </c>
      <c r="B60" s="17" t="n">
        <v>0.7</v>
      </c>
      <c r="C60" s="10" t="s">
        <v>125</v>
      </c>
    </row>
    <row r="61" customFormat="false" ht="15" hidden="false" customHeight="false" outlineLevel="0" collapsed="false">
      <c r="A61" s="8" t="s">
        <v>126</v>
      </c>
      <c r="B61" s="17" t="n">
        <v>0.25</v>
      </c>
      <c r="C61" s="10" t="s">
        <v>127</v>
      </c>
    </row>
    <row r="62" customFormat="false" ht="15" hidden="false" customHeight="false" outlineLevel="0" collapsed="false">
      <c r="A62" s="8" t="s">
        <v>128</v>
      </c>
      <c r="B62" s="17" t="n">
        <v>0.05</v>
      </c>
      <c r="C62" s="10" t="s">
        <v>129</v>
      </c>
    </row>
    <row r="63" customFormat="false" ht="15" hidden="false" customHeight="false" outlineLevel="0" collapsed="false">
      <c r="A63" s="8" t="s">
        <v>130</v>
      </c>
      <c r="B63" s="17" t="n">
        <v>0.05</v>
      </c>
      <c r="C63" s="10" t="s">
        <v>131</v>
      </c>
    </row>
    <row r="64" customFormat="false" ht="15" hidden="false" customHeight="false" outlineLevel="0" collapsed="false">
      <c r="A64" s="8" t="s">
        <v>132</v>
      </c>
      <c r="B64" s="17" t="n">
        <v>0.03</v>
      </c>
      <c r="C64" s="10" t="s">
        <v>133</v>
      </c>
    </row>
    <row r="65" customFormat="false" ht="15" hidden="false" customHeight="false" outlineLevel="0" collapsed="false">
      <c r="A65" s="8" t="s">
        <v>134</v>
      </c>
      <c r="B65" s="17" t="n">
        <v>0.015</v>
      </c>
      <c r="C65" s="10" t="s">
        <v>135</v>
      </c>
    </row>
    <row r="66" customFormat="false" ht="15" hidden="false" customHeight="false" outlineLevel="0" collapsed="false">
      <c r="A66" s="8" t="s">
        <v>136</v>
      </c>
      <c r="B66" s="16" t="n">
        <v>1.05</v>
      </c>
      <c r="C66" s="10" t="s">
        <v>137</v>
      </c>
    </row>
    <row r="67" customFormat="false" ht="15" hidden="false" customHeight="false" outlineLevel="0" collapsed="false">
      <c r="A67" s="8" t="s">
        <v>138</v>
      </c>
      <c r="B67" s="16" t="n">
        <v>1.15</v>
      </c>
      <c r="C67" s="10" t="s">
        <v>139</v>
      </c>
    </row>
    <row r="68" customFormat="false" ht="15" hidden="false" customHeight="false" outlineLevel="0" collapsed="false">
      <c r="A68" s="8" t="s">
        <v>140</v>
      </c>
      <c r="B68" s="16" t="n">
        <v>1.25</v>
      </c>
      <c r="C68" s="10" t="s">
        <v>141</v>
      </c>
    </row>
    <row r="69" customFormat="false" ht="15" hidden="false" customHeight="false" outlineLevel="0" collapsed="false">
      <c r="A69" s="8" t="s">
        <v>142</v>
      </c>
      <c r="B69" s="11" t="n">
        <v>30</v>
      </c>
      <c r="C69" s="10" t="s">
        <v>143</v>
      </c>
    </row>
    <row r="70" customFormat="false" ht="15" hidden="false" customHeight="false" outlineLevel="0" collapsed="false">
      <c r="A70" s="8" t="s">
        <v>144</v>
      </c>
      <c r="B70" s="11" t="n">
        <v>350</v>
      </c>
      <c r="C70" s="10" t="s">
        <v>145</v>
      </c>
    </row>
    <row r="71" customFormat="false" ht="15" hidden="false" customHeight="false" outlineLevel="0" collapsed="false">
      <c r="A71" s="8" t="s">
        <v>146</v>
      </c>
      <c r="B71" s="11" t="n">
        <v>4500</v>
      </c>
      <c r="C71" s="10" t="s">
        <v>147</v>
      </c>
    </row>
    <row r="72" customFormat="false" ht="15" hidden="false" customHeight="false" outlineLevel="0" collapsed="false">
      <c r="A72" s="8" t="s">
        <v>148</v>
      </c>
      <c r="B72" s="14" t="n">
        <v>0.08</v>
      </c>
      <c r="C72" s="10" t="s">
        <v>149</v>
      </c>
    </row>
    <row r="74" customFormat="false" ht="15" hidden="false" customHeight="true" outlineLevel="0" collapsed="false">
      <c r="A74" s="7" t="s">
        <v>150</v>
      </c>
      <c r="B74" s="7"/>
      <c r="C74" s="7"/>
    </row>
    <row r="75" customFormat="false" ht="15" hidden="false" customHeight="false" outlineLevel="0" collapsed="false">
      <c r="A75" s="8" t="s">
        <v>151</v>
      </c>
      <c r="B75" s="16" t="n">
        <v>0.6</v>
      </c>
      <c r="C75" s="10" t="s">
        <v>152</v>
      </c>
    </row>
    <row r="76" customFormat="false" ht="15" hidden="false" customHeight="false" outlineLevel="0" collapsed="false">
      <c r="A76" s="8" t="s">
        <v>153</v>
      </c>
      <c r="B76" s="16" t="n">
        <v>0.7</v>
      </c>
      <c r="C76" s="10" t="s">
        <v>154</v>
      </c>
    </row>
    <row r="77" customFormat="false" ht="15" hidden="false" customHeight="false" outlineLevel="0" collapsed="false">
      <c r="A77" s="8" t="s">
        <v>155</v>
      </c>
      <c r="B77" s="16" t="n">
        <v>1.5</v>
      </c>
      <c r="C77" s="10" t="s">
        <v>156</v>
      </c>
    </row>
    <row r="78" customFormat="false" ht="15" hidden="false" customHeight="false" outlineLevel="0" collapsed="false">
      <c r="A78" s="8" t="s">
        <v>157</v>
      </c>
      <c r="B78" s="16" t="n">
        <v>1.2</v>
      </c>
      <c r="C78" s="10" t="s">
        <v>158</v>
      </c>
    </row>
    <row r="80" customFormat="false" ht="15" hidden="false" customHeight="true" outlineLevel="0" collapsed="false">
      <c r="A80" s="7" t="s">
        <v>159</v>
      </c>
      <c r="B80" s="7"/>
      <c r="C80" s="7"/>
    </row>
    <row r="81" customFormat="false" ht="15" hidden="false" customHeight="false" outlineLevel="0" collapsed="false">
      <c r="A81" s="8" t="s">
        <v>160</v>
      </c>
      <c r="B81" s="14" t="n">
        <v>0.21</v>
      </c>
      <c r="C81" s="10" t="s">
        <v>161</v>
      </c>
    </row>
    <row r="82" customFormat="false" ht="15" hidden="false" customHeight="false" outlineLevel="0" collapsed="false">
      <c r="A82" s="8" t="s">
        <v>162</v>
      </c>
      <c r="B82" s="14" t="n">
        <v>0.3</v>
      </c>
      <c r="C82" s="10" t="s">
        <v>163</v>
      </c>
    </row>
    <row r="83" customFormat="false" ht="15" hidden="false" customHeight="false" outlineLevel="0" collapsed="false">
      <c r="A83" s="8" t="s">
        <v>164</v>
      </c>
      <c r="B83" s="14" t="n">
        <v>0.05</v>
      </c>
      <c r="C83" s="10" t="s">
        <v>165</v>
      </c>
    </row>
  </sheetData>
  <mergeCells count="11">
    <mergeCell ref="A4:C4"/>
    <mergeCell ref="A14:C14"/>
    <mergeCell ref="A20:C20"/>
    <mergeCell ref="A26:C26"/>
    <mergeCell ref="A30:C30"/>
    <mergeCell ref="A39:C39"/>
    <mergeCell ref="A44:C44"/>
    <mergeCell ref="A50:C50"/>
    <mergeCell ref="A56:C56"/>
    <mergeCell ref="A74:C74"/>
    <mergeCell ref="A80:C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5" min="2" style="1" width="12"/>
    <col collapsed="false" customWidth="true" hidden="false" outlineLevel="0" max="26" min="26" style="1" width="14"/>
  </cols>
  <sheetData>
    <row r="1" customFormat="false" ht="17.35" hidden="false" customHeight="false" outlineLevel="0" collapsed="false">
      <c r="A1" s="2" t="s">
        <v>166</v>
      </c>
    </row>
    <row r="2" customFormat="false" ht="15" hidden="false" customHeight="false" outlineLevel="0" collapsed="false">
      <c r="A2" s="3" t="s">
        <v>167</v>
      </c>
    </row>
    <row r="4" customFormat="false" ht="15" hidden="false" customHeight="false" outlineLevel="0" collapsed="false">
      <c r="A4" s="6" t="s">
        <v>168</v>
      </c>
      <c r="B4" s="6" t="s">
        <v>169</v>
      </c>
      <c r="C4" s="6" t="s">
        <v>170</v>
      </c>
      <c r="D4" s="6" t="s">
        <v>171</v>
      </c>
      <c r="E4" s="6" t="s">
        <v>172</v>
      </c>
      <c r="F4" s="6" t="s">
        <v>173</v>
      </c>
      <c r="G4" s="6" t="s">
        <v>174</v>
      </c>
      <c r="H4" s="6" t="s">
        <v>175</v>
      </c>
      <c r="I4" s="6" t="s">
        <v>176</v>
      </c>
      <c r="J4" s="6" t="s">
        <v>177</v>
      </c>
      <c r="K4" s="6" t="s">
        <v>178</v>
      </c>
      <c r="L4" s="6" t="s">
        <v>179</v>
      </c>
      <c r="M4" s="6" t="s">
        <v>180</v>
      </c>
      <c r="N4" s="6" t="s">
        <v>181</v>
      </c>
      <c r="O4" s="6" t="s">
        <v>182</v>
      </c>
      <c r="P4" s="6" t="s">
        <v>183</v>
      </c>
      <c r="Q4" s="6" t="s">
        <v>184</v>
      </c>
      <c r="R4" s="6" t="s">
        <v>185</v>
      </c>
      <c r="S4" s="6" t="s">
        <v>186</v>
      </c>
      <c r="T4" s="6" t="s">
        <v>187</v>
      </c>
      <c r="U4" s="6" t="s">
        <v>188</v>
      </c>
      <c r="V4" s="6" t="s">
        <v>189</v>
      </c>
      <c r="W4" s="6" t="s">
        <v>190</v>
      </c>
      <c r="X4" s="6" t="s">
        <v>191</v>
      </c>
      <c r="Y4" s="6" t="s">
        <v>192</v>
      </c>
      <c r="Z4" s="6" t="s">
        <v>193</v>
      </c>
    </row>
    <row r="5" customFormat="false" ht="15" hidden="false" customHeight="true" outlineLevel="0" collapsed="false">
      <c r="A5" s="7" t="s">
        <v>194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5" hidden="false" customHeight="false" outlineLevel="0" collapsed="false">
      <c r="A6" s="8" t="s">
        <v>195</v>
      </c>
      <c r="B6" s="19" t="n">
        <f aca="false">Assumptions!$B$21</f>
        <v>223</v>
      </c>
      <c r="C6" s="19" t="n">
        <f aca="false">Assumptions!$B$21</f>
        <v>223</v>
      </c>
      <c r="D6" s="19" t="n">
        <f aca="false">Assumptions!$B$21</f>
        <v>223</v>
      </c>
      <c r="E6" s="19" t="n">
        <f aca="false">Assumptions!$B$21</f>
        <v>223</v>
      </c>
      <c r="F6" s="19" t="n">
        <f aca="false">Assumptions!$B$21</f>
        <v>223</v>
      </c>
      <c r="G6" s="19" t="n">
        <f aca="false">Assumptions!$B$21</f>
        <v>223</v>
      </c>
      <c r="H6" s="19" t="n">
        <f aca="false">Assumptions!$B$21</f>
        <v>223</v>
      </c>
      <c r="I6" s="19" t="n">
        <f aca="false">Assumptions!$B$21</f>
        <v>223</v>
      </c>
      <c r="J6" s="19" t="n">
        <f aca="false">Assumptions!$B$21</f>
        <v>223</v>
      </c>
      <c r="K6" s="19" t="n">
        <f aca="false">Assumptions!$B$21</f>
        <v>223</v>
      </c>
      <c r="L6" s="19" t="n">
        <f aca="false">Assumptions!$B$21</f>
        <v>223</v>
      </c>
      <c r="M6" s="19" t="n">
        <f aca="false">Assumptions!$B$21</f>
        <v>223</v>
      </c>
      <c r="N6" s="19" t="n">
        <f aca="false">Assumptions!$B$21</f>
        <v>223</v>
      </c>
      <c r="O6" s="19" t="n">
        <f aca="false">Assumptions!$B$21</f>
        <v>223</v>
      </c>
      <c r="P6" s="19" t="n">
        <f aca="false">Assumptions!$B$21</f>
        <v>223</v>
      </c>
      <c r="Q6" s="19" t="n">
        <f aca="false">Assumptions!$B$21</f>
        <v>223</v>
      </c>
      <c r="R6" s="19" t="n">
        <f aca="false">Assumptions!$B$21</f>
        <v>223</v>
      </c>
      <c r="S6" s="19" t="n">
        <f aca="false">Assumptions!$B$21</f>
        <v>223</v>
      </c>
      <c r="T6" s="19" t="n">
        <f aca="false">Assumptions!$B$21</f>
        <v>223</v>
      </c>
      <c r="U6" s="19" t="n">
        <f aca="false">Assumptions!$B$21</f>
        <v>223</v>
      </c>
      <c r="V6" s="19" t="n">
        <f aca="false">Assumptions!$B$21</f>
        <v>223</v>
      </c>
      <c r="W6" s="19" t="n">
        <f aca="false">Assumptions!$B$21</f>
        <v>223</v>
      </c>
      <c r="X6" s="19" t="n">
        <f aca="false">Assumptions!$B$21</f>
        <v>223</v>
      </c>
      <c r="Y6" s="19" t="n">
        <f aca="false">Assumptions!$B$21</f>
        <v>223</v>
      </c>
      <c r="Z6" s="20" t="n">
        <f aca="false">SUM(B6:Y6)</f>
        <v>5352</v>
      </c>
    </row>
    <row r="7" customFormat="false" ht="15" hidden="false" customHeight="false" outlineLevel="0" collapsed="false">
      <c r="A7" s="8" t="s">
        <v>196</v>
      </c>
      <c r="B7" s="19" t="n">
        <f aca="false">Assumptions!$B$22</f>
        <v>20</v>
      </c>
      <c r="C7" s="19" t="n">
        <f aca="false">Assumptions!$B$22</f>
        <v>20</v>
      </c>
      <c r="D7" s="19" t="n">
        <f aca="false">Assumptions!$B$22</f>
        <v>20</v>
      </c>
      <c r="E7" s="19" t="n">
        <f aca="false">Assumptions!$B$22</f>
        <v>20</v>
      </c>
      <c r="F7" s="19" t="n">
        <f aca="false">Assumptions!$B$22</f>
        <v>20</v>
      </c>
      <c r="G7" s="19" t="n">
        <f aca="false">Assumptions!$B$22</f>
        <v>20</v>
      </c>
      <c r="H7" s="19" t="n">
        <f aca="false">Assumptions!$B$22</f>
        <v>20</v>
      </c>
      <c r="I7" s="19" t="n">
        <f aca="false">Assumptions!$B$22</f>
        <v>20</v>
      </c>
      <c r="J7" s="19" t="n">
        <f aca="false">Assumptions!$B$22</f>
        <v>20</v>
      </c>
      <c r="K7" s="19" t="n">
        <f aca="false">Assumptions!$B$22</f>
        <v>20</v>
      </c>
      <c r="L7" s="19" t="n">
        <f aca="false">Assumptions!$B$22</f>
        <v>20</v>
      </c>
      <c r="M7" s="19" t="n">
        <f aca="false">Assumptions!$B$22</f>
        <v>20</v>
      </c>
      <c r="N7" s="19" t="n">
        <f aca="false">Assumptions!$B$22</f>
        <v>20</v>
      </c>
      <c r="O7" s="19" t="n">
        <f aca="false">Assumptions!$B$22</f>
        <v>20</v>
      </c>
      <c r="P7" s="19" t="n">
        <f aca="false">Assumptions!$B$22</f>
        <v>20</v>
      </c>
      <c r="Q7" s="19" t="n">
        <f aca="false">Assumptions!$B$22</f>
        <v>20</v>
      </c>
      <c r="R7" s="19" t="n">
        <f aca="false">Assumptions!$B$22</f>
        <v>20</v>
      </c>
      <c r="S7" s="19" t="n">
        <f aca="false">Assumptions!$B$22</f>
        <v>20</v>
      </c>
      <c r="T7" s="19" t="n">
        <f aca="false">Assumptions!$B$22</f>
        <v>20</v>
      </c>
      <c r="U7" s="19" t="n">
        <f aca="false">Assumptions!$B$22</f>
        <v>20</v>
      </c>
      <c r="V7" s="19" t="n">
        <f aca="false">Assumptions!$B$22</f>
        <v>20</v>
      </c>
      <c r="W7" s="19" t="n">
        <f aca="false">Assumptions!$B$22</f>
        <v>20</v>
      </c>
      <c r="X7" s="19" t="n">
        <f aca="false">Assumptions!$B$22</f>
        <v>20</v>
      </c>
      <c r="Y7" s="19" t="n">
        <f aca="false">Assumptions!$B$22</f>
        <v>20</v>
      </c>
      <c r="Z7" s="20" t="n">
        <f aca="false">SUM(B7:Y7)</f>
        <v>480</v>
      </c>
    </row>
    <row r="8" customFormat="false" ht="15" hidden="false" customHeight="false" outlineLevel="0" collapsed="false">
      <c r="A8" s="8" t="s">
        <v>197</v>
      </c>
      <c r="B8" s="19" t="n">
        <f aca="false">Assumptions!$B$23*POWER(Assumptions!$B$24,0)</f>
        <v>350</v>
      </c>
      <c r="C8" s="19" t="n">
        <f aca="false">Assumptions!$B$23*POWER(Assumptions!$B$24,0)</f>
        <v>350</v>
      </c>
      <c r="D8" s="19" t="n">
        <f aca="false">Assumptions!$B$23*POWER(Assumptions!$B$24,0)</f>
        <v>350</v>
      </c>
      <c r="E8" s="19" t="n">
        <f aca="false">Assumptions!$B$23*POWER(Assumptions!$B$24,0)</f>
        <v>350</v>
      </c>
      <c r="F8" s="19" t="n">
        <f aca="false">Assumptions!$B$23*POWER(Assumptions!$B$24,0)</f>
        <v>350</v>
      </c>
      <c r="G8" s="19" t="n">
        <f aca="false">Assumptions!$B$23*POWER(Assumptions!$B$24,0)</f>
        <v>350</v>
      </c>
      <c r="H8" s="19" t="n">
        <f aca="false">Assumptions!$B$23*POWER(Assumptions!$B$24,1)</f>
        <v>490</v>
      </c>
      <c r="I8" s="19" t="n">
        <f aca="false">Assumptions!$B$23*POWER(Assumptions!$B$24,1)</f>
        <v>490</v>
      </c>
      <c r="J8" s="19" t="n">
        <f aca="false">Assumptions!$B$23*POWER(Assumptions!$B$24,1)</f>
        <v>490</v>
      </c>
      <c r="K8" s="19" t="n">
        <f aca="false">Assumptions!$B$23*POWER(Assumptions!$B$24,1)</f>
        <v>490</v>
      </c>
      <c r="L8" s="19" t="n">
        <f aca="false">Assumptions!$B$23*POWER(Assumptions!$B$24,1)</f>
        <v>490</v>
      </c>
      <c r="M8" s="19" t="n">
        <f aca="false">Assumptions!$B$23*POWER(Assumptions!$B$24,1)</f>
        <v>490</v>
      </c>
      <c r="N8" s="19" t="n">
        <f aca="false">Assumptions!$B$23*POWER(Assumptions!$B$24,2)</f>
        <v>686</v>
      </c>
      <c r="O8" s="19" t="n">
        <f aca="false">Assumptions!$B$23*POWER(Assumptions!$B$24,2)</f>
        <v>686</v>
      </c>
      <c r="P8" s="19" t="n">
        <f aca="false">Assumptions!$B$23*POWER(Assumptions!$B$24,2)</f>
        <v>686</v>
      </c>
      <c r="Q8" s="19" t="n">
        <f aca="false">Assumptions!$B$23*POWER(Assumptions!$B$24,2)</f>
        <v>686</v>
      </c>
      <c r="R8" s="19" t="n">
        <f aca="false">Assumptions!$B$23*POWER(Assumptions!$B$24,2)</f>
        <v>686</v>
      </c>
      <c r="S8" s="19" t="n">
        <f aca="false">Assumptions!$B$23*POWER(Assumptions!$B$24,2)</f>
        <v>686</v>
      </c>
      <c r="T8" s="19" t="n">
        <f aca="false">Assumptions!$B$23*POWER(Assumptions!$B$24,3)</f>
        <v>960.4</v>
      </c>
      <c r="U8" s="19" t="n">
        <f aca="false">Assumptions!$B$23*POWER(Assumptions!$B$24,3)</f>
        <v>960.4</v>
      </c>
      <c r="V8" s="19" t="n">
        <f aca="false">Assumptions!$B$23*POWER(Assumptions!$B$24,3)</f>
        <v>960.4</v>
      </c>
      <c r="W8" s="19" t="n">
        <f aca="false">Assumptions!$B$23*POWER(Assumptions!$B$24,3)</f>
        <v>960.4</v>
      </c>
      <c r="X8" s="19" t="n">
        <f aca="false">Assumptions!$B$23*POWER(Assumptions!$B$24,3)</f>
        <v>960.4</v>
      </c>
      <c r="Y8" s="19" t="n">
        <f aca="false">Assumptions!$B$23*POWER(Assumptions!$B$24,3)</f>
        <v>960.4</v>
      </c>
      <c r="Z8" s="20" t="n">
        <f aca="false">SUM(B8:Y8)</f>
        <v>14918.4</v>
      </c>
    </row>
    <row r="9" customFormat="false" ht="15" hidden="false" customHeight="true" outlineLevel="0" collapsed="false">
      <c r="A9" s="7" t="s">
        <v>198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15" hidden="false" customHeight="false" outlineLevel="0" collapsed="false">
      <c r="A10" s="8" t="s">
        <v>199</v>
      </c>
      <c r="B10" s="19" t="n">
        <f aca="false">Assumptions!$B$27*Assumptions!$B$28</f>
        <v>136</v>
      </c>
      <c r="C10" s="19" t="n">
        <f aca="false">Assumptions!$B$27*Assumptions!$B$28</f>
        <v>136</v>
      </c>
      <c r="D10" s="19" t="n">
        <f aca="false">Assumptions!$B$27*Assumptions!$B$28</f>
        <v>136</v>
      </c>
      <c r="E10" s="19" t="n">
        <f aca="false">Assumptions!$B$27*Assumptions!$B$28</f>
        <v>136</v>
      </c>
      <c r="F10" s="19" t="n">
        <f aca="false">Assumptions!$B$27*Assumptions!$B$28</f>
        <v>136</v>
      </c>
      <c r="G10" s="19" t="n">
        <f aca="false">Assumptions!$B$27*Assumptions!$B$28</f>
        <v>136</v>
      </c>
      <c r="H10" s="19" t="n">
        <f aca="false">Assumptions!$B$27*Assumptions!$B$28</f>
        <v>136</v>
      </c>
      <c r="I10" s="19" t="n">
        <f aca="false">Assumptions!$B$27*Assumptions!$B$28</f>
        <v>136</v>
      </c>
      <c r="J10" s="19" t="n">
        <f aca="false">Assumptions!$B$27*Assumptions!$B$28</f>
        <v>136</v>
      </c>
      <c r="K10" s="19" t="n">
        <f aca="false">Assumptions!$B$27*Assumptions!$B$28</f>
        <v>136</v>
      </c>
      <c r="L10" s="19" t="n">
        <f aca="false">Assumptions!$B$27*Assumptions!$B$28</f>
        <v>136</v>
      </c>
      <c r="M10" s="19" t="n">
        <f aca="false">Assumptions!$B$27*Assumptions!$B$28</f>
        <v>136</v>
      </c>
      <c r="N10" s="19" t="n">
        <f aca="false">Assumptions!$B$27*Assumptions!$B$28</f>
        <v>136</v>
      </c>
      <c r="O10" s="19" t="n">
        <f aca="false">Assumptions!$B$27*Assumptions!$B$28</f>
        <v>136</v>
      </c>
      <c r="P10" s="19" t="n">
        <f aca="false">Assumptions!$B$27*Assumptions!$B$28</f>
        <v>136</v>
      </c>
      <c r="Q10" s="19" t="n">
        <f aca="false">Assumptions!$B$27*Assumptions!$B$28</f>
        <v>136</v>
      </c>
      <c r="R10" s="19" t="n">
        <f aca="false">Assumptions!$B$27*Assumptions!$B$28</f>
        <v>136</v>
      </c>
      <c r="S10" s="19" t="n">
        <f aca="false">Assumptions!$B$27*Assumptions!$B$28</f>
        <v>136</v>
      </c>
      <c r="T10" s="19" t="n">
        <f aca="false">Assumptions!$B$27*Assumptions!$B$28</f>
        <v>136</v>
      </c>
      <c r="U10" s="19" t="n">
        <f aca="false">Assumptions!$B$27*Assumptions!$B$28</f>
        <v>136</v>
      </c>
      <c r="V10" s="19" t="n">
        <f aca="false">Assumptions!$B$27*Assumptions!$B$28</f>
        <v>136</v>
      </c>
      <c r="W10" s="19" t="n">
        <f aca="false">Assumptions!$B$27*Assumptions!$B$28</f>
        <v>136</v>
      </c>
      <c r="X10" s="19" t="n">
        <f aca="false">Assumptions!$B$27*Assumptions!$B$28</f>
        <v>136</v>
      </c>
      <c r="Y10" s="19" t="n">
        <f aca="false">Assumptions!$B$27*Assumptions!$B$28</f>
        <v>136</v>
      </c>
      <c r="Z10" s="20" t="n">
        <f aca="false">SUM(B10:Y10)</f>
        <v>3264</v>
      </c>
    </row>
    <row r="11" customFormat="false" ht="15" hidden="false" customHeight="true" outlineLevel="0" collapsed="false">
      <c r="A11" s="7" t="s">
        <v>200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15" hidden="false" customHeight="false" outlineLevel="0" collapsed="false">
      <c r="A12" s="8" t="s">
        <v>201</v>
      </c>
      <c r="B12" s="19" t="n">
        <f aca="false">Assumptions!$B$31*MIN(3.5, MAX(1, 1 + SQRT(MAX(0, Funnel_24mo!B21 - 1)) * 0.1))</f>
        <v>128.275651031792</v>
      </c>
      <c r="C12" s="19" t="n">
        <f aca="false">Assumptions!$B$31*MIN(3.5, MAX(1, 1 + SQRT(MAX(0, Funnel_24mo!C21 - 1)) * 0.1))</f>
        <v>150.986639701652</v>
      </c>
      <c r="D12" s="19" t="n">
        <f aca="false">Assumptions!$B$31*MIN(3.5, MAX(1, 1 + SQRT(MAX(0, Funnel_24mo!D21 - 1)) * 0.1))</f>
        <v>169.230930886994</v>
      </c>
      <c r="E12" s="19" t="n">
        <f aca="false">Assumptions!$B$31*MIN(3.5, MAX(1, 1 + SQRT(MAX(0, Funnel_24mo!E21 - 1)) * 0.1))</f>
        <v>196.806615147525</v>
      </c>
      <c r="F12" s="19" t="n">
        <f aca="false">Assumptions!$B$31*MIN(3.5, MAX(1, 1 + SQRT(MAX(0, Funnel_24mo!F21 - 1)) * 0.1))</f>
        <v>221.651831589866</v>
      </c>
      <c r="G12" s="19" t="n">
        <f aca="false">Assumptions!$B$31*MIN(3.5, MAX(1, 1 + SQRT(MAX(0, Funnel_24mo!G21 - 1)) * 0.1))</f>
        <v>245.320646832389</v>
      </c>
      <c r="H12" s="19" t="n">
        <f aca="false">Assumptions!$B$31*MIN(3.5, MAX(1, 1 + SQRT(MAX(0, Funnel_24mo!H21 - 1)) * 0.1))</f>
        <v>282.695105064444</v>
      </c>
      <c r="I12" s="19" t="n">
        <f aca="false">Assumptions!$B$31*MIN(3.5, MAX(1, 1 + SQRT(MAX(0, Funnel_24mo!I21 - 1)) * 0.1))</f>
        <v>320.098405796804</v>
      </c>
      <c r="J12" s="19" t="n">
        <f aca="false">Assumptions!$B$31*MIN(3.5, MAX(1, 1 + SQRT(MAX(0, Funnel_24mo!J21 - 1)) * 0.1))</f>
        <v>357.394120116003</v>
      </c>
      <c r="K12" s="19" t="n">
        <f aca="false">Assumptions!$B$31*MIN(3.5, MAX(1, 1 + SQRT(MAX(0, Funnel_24mo!K21 - 1)) * 0.1))</f>
        <v>394.522564822977</v>
      </c>
      <c r="L12" s="19" t="n">
        <f aca="false">Assumptions!$B$31*MIN(3.5, MAX(1, 1 + SQRT(MAX(0, Funnel_24mo!L21 - 1)) * 0.1))</f>
        <v>420</v>
      </c>
      <c r="M12" s="19" t="n">
        <f aca="false">Assumptions!$B$31*MIN(3.5, MAX(1, 1 + SQRT(MAX(0, Funnel_24mo!M21 - 1)) * 0.1))</f>
        <v>420</v>
      </c>
      <c r="N12" s="19" t="n">
        <f aca="false">Assumptions!$B$31*MIN(3.5, MAX(1, 1 + SQRT(MAX(0, Funnel_24mo!N21 - 1)) * 0.1))</f>
        <v>420</v>
      </c>
      <c r="O12" s="19" t="n">
        <f aca="false">Assumptions!$B$31*MIN(3.5, MAX(1, 1 + SQRT(MAX(0, Funnel_24mo!O21 - 1)) * 0.1))</f>
        <v>420</v>
      </c>
      <c r="P12" s="19" t="n">
        <f aca="false">Assumptions!$B$31*MIN(3.5, MAX(1, 1 + SQRT(MAX(0, Funnel_24mo!P21 - 1)) * 0.1))</f>
        <v>420</v>
      </c>
      <c r="Q12" s="19" t="n">
        <f aca="false">Assumptions!$B$31*MIN(3.5, MAX(1, 1 + SQRT(MAX(0, Funnel_24mo!Q21 - 1)) * 0.1))</f>
        <v>420</v>
      </c>
      <c r="R12" s="19" t="n">
        <f aca="false">Assumptions!$B$31*MIN(3.5, MAX(1, 1 + SQRT(MAX(0, Funnel_24mo!R21 - 1)) * 0.1))</f>
        <v>420</v>
      </c>
      <c r="S12" s="19" t="n">
        <f aca="false">Assumptions!$B$31*MIN(3.5, MAX(1, 1 + SQRT(MAX(0, Funnel_24mo!S21 - 1)) * 0.1))</f>
        <v>420</v>
      </c>
      <c r="T12" s="19" t="n">
        <f aca="false">Assumptions!$B$31*MIN(3.5, MAX(1, 1 + SQRT(MAX(0, Funnel_24mo!T21 - 1)) * 0.1))</f>
        <v>420</v>
      </c>
      <c r="U12" s="19" t="n">
        <f aca="false">Assumptions!$B$31*MIN(3.5, MAX(1, 1 + SQRT(MAX(0, Funnel_24mo!U21 - 1)) * 0.1))</f>
        <v>420</v>
      </c>
      <c r="V12" s="19" t="n">
        <f aca="false">Assumptions!$B$31*MIN(3.5, MAX(1, 1 + SQRT(MAX(0, Funnel_24mo!V21 - 1)) * 0.1))</f>
        <v>420</v>
      </c>
      <c r="W12" s="19" t="n">
        <f aca="false">Assumptions!$B$31*MIN(3.5, MAX(1, 1 + SQRT(MAX(0, Funnel_24mo!W21 - 1)) * 0.1))</f>
        <v>420</v>
      </c>
      <c r="X12" s="19" t="n">
        <f aca="false">Assumptions!$B$31*MIN(3.5, MAX(1, 1 + SQRT(MAX(0, Funnel_24mo!X21 - 1)) * 0.1))</f>
        <v>420</v>
      </c>
      <c r="Y12" s="19" t="n">
        <f aca="false">Assumptions!$B$31*MIN(3.5, MAX(1, 1 + SQRT(MAX(0, Funnel_24mo!Y21 - 1)) * 0.1))</f>
        <v>420</v>
      </c>
      <c r="Z12" s="20" t="n">
        <f aca="false">SUM(B12:Y12)</f>
        <v>8346.98251099045</v>
      </c>
    </row>
    <row r="13" customFormat="false" ht="15" hidden="false" customHeight="false" outlineLevel="0" collapsed="false">
      <c r="A13" s="8" t="s">
        <v>202</v>
      </c>
      <c r="B13" s="19" t="n">
        <f aca="false">Assumptions!$B$32*MIN(3.5, MAX(1, 1 + SQRT(MAX(0, Funnel_24mo!B21 - 1)) * 0.1))</f>
        <v>267.240939649567</v>
      </c>
      <c r="C13" s="19" t="n">
        <f aca="false">Assumptions!$B$32*MIN(3.5, MAX(1, 1 + SQRT(MAX(0, Funnel_24mo!C21 - 1)) * 0.1))</f>
        <v>314.555499378442</v>
      </c>
      <c r="D13" s="19" t="n">
        <f aca="false">Assumptions!$B$32*MIN(3.5, MAX(1, 1 + SQRT(MAX(0, Funnel_24mo!D21 - 1)) * 0.1))</f>
        <v>352.564439347905</v>
      </c>
      <c r="E13" s="19" t="n">
        <f aca="false">Assumptions!$B$32*MIN(3.5, MAX(1, 1 + SQRT(MAX(0, Funnel_24mo!E21 - 1)) * 0.1))</f>
        <v>410.013781557344</v>
      </c>
      <c r="F13" s="19" t="n">
        <f aca="false">Assumptions!$B$32*MIN(3.5, MAX(1, 1 + SQRT(MAX(0, Funnel_24mo!F21 - 1)) * 0.1))</f>
        <v>461.774649145554</v>
      </c>
      <c r="G13" s="19" t="n">
        <f aca="false">Assumptions!$B$32*MIN(3.5, MAX(1, 1 + SQRT(MAX(0, Funnel_24mo!G21 - 1)) * 0.1))</f>
        <v>511.08468090081</v>
      </c>
      <c r="H13" s="19" t="n">
        <f aca="false">Assumptions!$B$32*MIN(3.5, MAX(1, 1 + SQRT(MAX(0, Funnel_24mo!H21 - 1)) * 0.1))</f>
        <v>588.948135550924</v>
      </c>
      <c r="I13" s="19" t="n">
        <f aca="false">Assumptions!$B$32*MIN(3.5, MAX(1, 1 + SQRT(MAX(0, Funnel_24mo!I21 - 1)) * 0.1))</f>
        <v>666.871678743342</v>
      </c>
      <c r="J13" s="19" t="n">
        <f aca="false">Assumptions!$B$32*MIN(3.5, MAX(1, 1 + SQRT(MAX(0, Funnel_24mo!J21 - 1)) * 0.1))</f>
        <v>744.571083575007</v>
      </c>
      <c r="K13" s="19" t="n">
        <f aca="false">Assumptions!$B$32*MIN(3.5, MAX(1, 1 + SQRT(MAX(0, Funnel_24mo!K21 - 1)) * 0.1))</f>
        <v>821.922010047869</v>
      </c>
      <c r="L13" s="19" t="n">
        <f aca="false">Assumptions!$B$32*MIN(3.5, MAX(1, 1 + SQRT(MAX(0, Funnel_24mo!L21 - 1)) * 0.1))</f>
        <v>875</v>
      </c>
      <c r="M13" s="19" t="n">
        <f aca="false">Assumptions!$B$32*MIN(3.5, MAX(1, 1 + SQRT(MAX(0, Funnel_24mo!M21 - 1)) * 0.1))</f>
        <v>875</v>
      </c>
      <c r="N13" s="19" t="n">
        <f aca="false">Assumptions!$B$32*MIN(3.5, MAX(1, 1 + SQRT(MAX(0, Funnel_24mo!N21 - 1)) * 0.1))</f>
        <v>875</v>
      </c>
      <c r="O13" s="19" t="n">
        <f aca="false">Assumptions!$B$32*MIN(3.5, MAX(1, 1 + SQRT(MAX(0, Funnel_24mo!O21 - 1)) * 0.1))</f>
        <v>875</v>
      </c>
      <c r="P13" s="19" t="n">
        <f aca="false">Assumptions!$B$32*MIN(3.5, MAX(1, 1 + SQRT(MAX(0, Funnel_24mo!P21 - 1)) * 0.1))</f>
        <v>875</v>
      </c>
      <c r="Q13" s="19" t="n">
        <f aca="false">Assumptions!$B$32*MIN(3.5, MAX(1, 1 + SQRT(MAX(0, Funnel_24mo!Q21 - 1)) * 0.1))</f>
        <v>875</v>
      </c>
      <c r="R13" s="19" t="n">
        <f aca="false">Assumptions!$B$32*MIN(3.5, MAX(1, 1 + SQRT(MAX(0, Funnel_24mo!R21 - 1)) * 0.1))</f>
        <v>875</v>
      </c>
      <c r="S13" s="19" t="n">
        <f aca="false">Assumptions!$B$32*MIN(3.5, MAX(1, 1 + SQRT(MAX(0, Funnel_24mo!S21 - 1)) * 0.1))</f>
        <v>875</v>
      </c>
      <c r="T13" s="19" t="n">
        <f aca="false">Assumptions!$B$32*MIN(3.5, MAX(1, 1 + SQRT(MAX(0, Funnel_24mo!T21 - 1)) * 0.1))</f>
        <v>875</v>
      </c>
      <c r="U13" s="19" t="n">
        <f aca="false">Assumptions!$B$32*MIN(3.5, MAX(1, 1 + SQRT(MAX(0, Funnel_24mo!U21 - 1)) * 0.1))</f>
        <v>875</v>
      </c>
      <c r="V13" s="19" t="n">
        <f aca="false">Assumptions!$B$32*MIN(3.5, MAX(1, 1 + SQRT(MAX(0, Funnel_24mo!V21 - 1)) * 0.1))</f>
        <v>875</v>
      </c>
      <c r="W13" s="19" t="n">
        <f aca="false">Assumptions!$B$32*MIN(3.5, MAX(1, 1 + SQRT(MAX(0, Funnel_24mo!W21 - 1)) * 0.1))</f>
        <v>875</v>
      </c>
      <c r="X13" s="19" t="n">
        <f aca="false">Assumptions!$B$32*MIN(3.5, MAX(1, 1 + SQRT(MAX(0, Funnel_24mo!X21 - 1)) * 0.1))</f>
        <v>875</v>
      </c>
      <c r="Y13" s="19" t="n">
        <f aca="false">Assumptions!$B$32*MIN(3.5, MAX(1, 1 + SQRT(MAX(0, Funnel_24mo!Y21 - 1)) * 0.1))</f>
        <v>875</v>
      </c>
      <c r="Z13" s="20" t="n">
        <f aca="false">SUM(B13:Y13)</f>
        <v>17389.5468978968</v>
      </c>
    </row>
    <row r="14" customFormat="false" ht="15" hidden="false" customHeight="false" outlineLevel="0" collapsed="false">
      <c r="A14" s="8" t="s">
        <v>203</v>
      </c>
      <c r="B14" s="19" t="n">
        <f aca="false">Assumptions!$B$33*MIN(3.5, MAX(1, 1 + SQRT(MAX(0, Funnel_24mo!B21 - 1)) * 0.1))</f>
        <v>32.068912757948</v>
      </c>
      <c r="C14" s="19" t="n">
        <f aca="false">Assumptions!$B$33*MIN(3.5, MAX(1, 1 + SQRT(MAX(0, Funnel_24mo!C21 - 1)) * 0.1))</f>
        <v>37.746659925413</v>
      </c>
      <c r="D14" s="19" t="n">
        <f aca="false">Assumptions!$B$33*MIN(3.5, MAX(1, 1 + SQRT(MAX(0, Funnel_24mo!D21 - 1)) * 0.1))</f>
        <v>42.3077327217486</v>
      </c>
      <c r="E14" s="19" t="n">
        <f aca="false">Assumptions!$B$33*MIN(3.5, MAX(1, 1 + SQRT(MAX(0, Funnel_24mo!E21 - 1)) * 0.1))</f>
        <v>49.2016537868812</v>
      </c>
      <c r="F14" s="19" t="n">
        <f aca="false">Assumptions!$B$33*MIN(3.5, MAX(1, 1 + SQRT(MAX(0, Funnel_24mo!F21 - 1)) * 0.1))</f>
        <v>55.4129578974665</v>
      </c>
      <c r="G14" s="19" t="n">
        <f aca="false">Assumptions!$B$33*MIN(3.5, MAX(1, 1 + SQRT(MAX(0, Funnel_24mo!G21 - 1)) * 0.1))</f>
        <v>61.3301617080972</v>
      </c>
      <c r="H14" s="19" t="n">
        <f aca="false">Assumptions!$B$33*MIN(3.5, MAX(1, 1 + SQRT(MAX(0, Funnel_24mo!H21 - 1)) * 0.1))</f>
        <v>70.6737762661109</v>
      </c>
      <c r="I14" s="19" t="n">
        <f aca="false">Assumptions!$B$33*MIN(3.5, MAX(1, 1 + SQRT(MAX(0, Funnel_24mo!I21 - 1)) * 0.1))</f>
        <v>80.024601449201</v>
      </c>
      <c r="J14" s="19" t="n">
        <f aca="false">Assumptions!$B$33*MIN(3.5, MAX(1, 1 + SQRT(MAX(0, Funnel_24mo!J21 - 1)) * 0.1))</f>
        <v>89.3485300290008</v>
      </c>
      <c r="K14" s="19" t="n">
        <f aca="false">Assumptions!$B$33*MIN(3.5, MAX(1, 1 + SQRT(MAX(0, Funnel_24mo!K21 - 1)) * 0.1))</f>
        <v>98.6306412057443</v>
      </c>
      <c r="L14" s="19" t="n">
        <f aca="false">Assumptions!$B$33*MIN(3.5, MAX(1, 1 + SQRT(MAX(0, Funnel_24mo!L21 - 1)) * 0.1))</f>
        <v>105</v>
      </c>
      <c r="M14" s="19" t="n">
        <f aca="false">Assumptions!$B$33*MIN(3.5, MAX(1, 1 + SQRT(MAX(0, Funnel_24mo!M21 - 1)) * 0.1))</f>
        <v>105</v>
      </c>
      <c r="N14" s="19" t="n">
        <f aca="false">Assumptions!$B$33*MIN(3.5, MAX(1, 1 + SQRT(MAX(0, Funnel_24mo!N21 - 1)) * 0.1))</f>
        <v>105</v>
      </c>
      <c r="O14" s="19" t="n">
        <f aca="false">Assumptions!$B$33*MIN(3.5, MAX(1, 1 + SQRT(MAX(0, Funnel_24mo!O21 - 1)) * 0.1))</f>
        <v>105</v>
      </c>
      <c r="P14" s="19" t="n">
        <f aca="false">Assumptions!$B$33*MIN(3.5, MAX(1, 1 + SQRT(MAX(0, Funnel_24mo!P21 - 1)) * 0.1))</f>
        <v>105</v>
      </c>
      <c r="Q14" s="19" t="n">
        <f aca="false">Assumptions!$B$33*MIN(3.5, MAX(1, 1 + SQRT(MAX(0, Funnel_24mo!Q21 - 1)) * 0.1))</f>
        <v>105</v>
      </c>
      <c r="R14" s="19" t="n">
        <f aca="false">Assumptions!$B$33*MIN(3.5, MAX(1, 1 + SQRT(MAX(0, Funnel_24mo!R21 - 1)) * 0.1))</f>
        <v>105</v>
      </c>
      <c r="S14" s="19" t="n">
        <f aca="false">Assumptions!$B$33*MIN(3.5, MAX(1, 1 + SQRT(MAX(0, Funnel_24mo!S21 - 1)) * 0.1))</f>
        <v>105</v>
      </c>
      <c r="T14" s="19" t="n">
        <f aca="false">Assumptions!$B$33*MIN(3.5, MAX(1, 1 + SQRT(MAX(0, Funnel_24mo!T21 - 1)) * 0.1))</f>
        <v>105</v>
      </c>
      <c r="U14" s="19" t="n">
        <f aca="false">Assumptions!$B$33*MIN(3.5, MAX(1, 1 + SQRT(MAX(0, Funnel_24mo!U21 - 1)) * 0.1))</f>
        <v>105</v>
      </c>
      <c r="V14" s="19" t="n">
        <f aca="false">Assumptions!$B$33*MIN(3.5, MAX(1, 1 + SQRT(MAX(0, Funnel_24mo!V21 - 1)) * 0.1))</f>
        <v>105</v>
      </c>
      <c r="W14" s="19" t="n">
        <f aca="false">Assumptions!$B$33*MIN(3.5, MAX(1, 1 + SQRT(MAX(0, Funnel_24mo!W21 - 1)) * 0.1))</f>
        <v>105</v>
      </c>
      <c r="X14" s="19" t="n">
        <f aca="false">Assumptions!$B$33*MIN(3.5, MAX(1, 1 + SQRT(MAX(0, Funnel_24mo!X21 - 1)) * 0.1))</f>
        <v>105</v>
      </c>
      <c r="Y14" s="19" t="n">
        <f aca="false">Assumptions!$B$33*MIN(3.5, MAX(1, 1 + SQRT(MAX(0, Funnel_24mo!Y21 - 1)) * 0.1))</f>
        <v>105</v>
      </c>
      <c r="Z14" s="20" t="n">
        <f aca="false">SUM(B14:Y14)</f>
        <v>2086.74562774761</v>
      </c>
    </row>
    <row r="15" customFormat="false" ht="15" hidden="false" customHeight="false" outlineLevel="0" collapsed="false">
      <c r="A15" s="8" t="s">
        <v>204</v>
      </c>
      <c r="B15" s="19" t="n">
        <f aca="false">Assumptions!$B$34</f>
        <v>40</v>
      </c>
      <c r="C15" s="19" t="n">
        <f aca="false">Assumptions!$B$34</f>
        <v>40</v>
      </c>
      <c r="D15" s="19" t="n">
        <f aca="false">Assumptions!$B$34</f>
        <v>40</v>
      </c>
      <c r="E15" s="19" t="n">
        <f aca="false">Assumptions!$B$34</f>
        <v>40</v>
      </c>
      <c r="F15" s="19" t="n">
        <f aca="false">Assumptions!$B$34</f>
        <v>40</v>
      </c>
      <c r="G15" s="19" t="n">
        <f aca="false">Assumptions!$B$34</f>
        <v>40</v>
      </c>
      <c r="H15" s="19" t="n">
        <f aca="false">Assumptions!$B$34</f>
        <v>40</v>
      </c>
      <c r="I15" s="19" t="n">
        <f aca="false">Assumptions!$B$34</f>
        <v>40</v>
      </c>
      <c r="J15" s="19" t="n">
        <f aca="false">Assumptions!$B$34</f>
        <v>40</v>
      </c>
      <c r="K15" s="19" t="n">
        <f aca="false">Assumptions!$B$34</f>
        <v>40</v>
      </c>
      <c r="L15" s="19" t="n">
        <f aca="false">Assumptions!$B$34</f>
        <v>40</v>
      </c>
      <c r="M15" s="19" t="n">
        <f aca="false">Assumptions!$B$34</f>
        <v>40</v>
      </c>
      <c r="N15" s="19" t="n">
        <f aca="false">Assumptions!$B$34</f>
        <v>40</v>
      </c>
      <c r="O15" s="19" t="n">
        <f aca="false">Assumptions!$B$34</f>
        <v>40</v>
      </c>
      <c r="P15" s="19" t="n">
        <f aca="false">Assumptions!$B$34</f>
        <v>40</v>
      </c>
      <c r="Q15" s="19" t="n">
        <f aca="false">Assumptions!$B$34</f>
        <v>40</v>
      </c>
      <c r="R15" s="19" t="n">
        <f aca="false">Assumptions!$B$34</f>
        <v>40</v>
      </c>
      <c r="S15" s="19" t="n">
        <f aca="false">Assumptions!$B$34</f>
        <v>40</v>
      </c>
      <c r="T15" s="19" t="n">
        <f aca="false">Assumptions!$B$34</f>
        <v>40</v>
      </c>
      <c r="U15" s="19" t="n">
        <f aca="false">Assumptions!$B$34</f>
        <v>40</v>
      </c>
      <c r="V15" s="19" t="n">
        <f aca="false">Assumptions!$B$34</f>
        <v>40</v>
      </c>
      <c r="W15" s="19" t="n">
        <f aca="false">Assumptions!$B$34</f>
        <v>40</v>
      </c>
      <c r="X15" s="19" t="n">
        <f aca="false">Assumptions!$B$34</f>
        <v>40</v>
      </c>
      <c r="Y15" s="19" t="n">
        <f aca="false">Assumptions!$B$34</f>
        <v>40</v>
      </c>
      <c r="Z15" s="20" t="n">
        <f aca="false">SUM(B15:Y15)</f>
        <v>960</v>
      </c>
    </row>
    <row r="16" customFormat="false" ht="15" hidden="false" customHeight="false" outlineLevel="0" collapsed="false">
      <c r="A16" s="8" t="s">
        <v>205</v>
      </c>
      <c r="B16" s="19" t="n">
        <f aca="false">Assumptions!$B$35</f>
        <v>25</v>
      </c>
      <c r="C16" s="19" t="n">
        <f aca="false">Assumptions!$B$35</f>
        <v>25</v>
      </c>
      <c r="D16" s="19" t="n">
        <f aca="false">Assumptions!$B$35</f>
        <v>25</v>
      </c>
      <c r="E16" s="19" t="n">
        <f aca="false">Assumptions!$B$35</f>
        <v>25</v>
      </c>
      <c r="F16" s="19" t="n">
        <f aca="false">Assumptions!$B$35</f>
        <v>25</v>
      </c>
      <c r="G16" s="19" t="n">
        <f aca="false">Assumptions!$B$35</f>
        <v>25</v>
      </c>
      <c r="H16" s="19" t="n">
        <f aca="false">Assumptions!$B$35</f>
        <v>25</v>
      </c>
      <c r="I16" s="19" t="n">
        <f aca="false">Assumptions!$B$35</f>
        <v>25</v>
      </c>
      <c r="J16" s="19" t="n">
        <f aca="false">Assumptions!$B$35</f>
        <v>25</v>
      </c>
      <c r="K16" s="19" t="n">
        <f aca="false">Assumptions!$B$35</f>
        <v>25</v>
      </c>
      <c r="L16" s="19" t="n">
        <f aca="false">Assumptions!$B$35</f>
        <v>25</v>
      </c>
      <c r="M16" s="19" t="n">
        <f aca="false">Assumptions!$B$35</f>
        <v>25</v>
      </c>
      <c r="N16" s="19" t="n">
        <f aca="false">Assumptions!$B$35</f>
        <v>25</v>
      </c>
      <c r="O16" s="19" t="n">
        <f aca="false">Assumptions!$B$35</f>
        <v>25</v>
      </c>
      <c r="P16" s="19" t="n">
        <f aca="false">Assumptions!$B$35</f>
        <v>25</v>
      </c>
      <c r="Q16" s="19" t="n">
        <f aca="false">Assumptions!$B$35</f>
        <v>25</v>
      </c>
      <c r="R16" s="19" t="n">
        <f aca="false">Assumptions!$B$35</f>
        <v>25</v>
      </c>
      <c r="S16" s="19" t="n">
        <f aca="false">Assumptions!$B$35</f>
        <v>25</v>
      </c>
      <c r="T16" s="19" t="n">
        <f aca="false">Assumptions!$B$35</f>
        <v>25</v>
      </c>
      <c r="U16" s="19" t="n">
        <f aca="false">Assumptions!$B$35</f>
        <v>25</v>
      </c>
      <c r="V16" s="19" t="n">
        <f aca="false">Assumptions!$B$35</f>
        <v>25</v>
      </c>
      <c r="W16" s="19" t="n">
        <f aca="false">Assumptions!$B$35</f>
        <v>25</v>
      </c>
      <c r="X16" s="19" t="n">
        <f aca="false">Assumptions!$B$35</f>
        <v>25</v>
      </c>
      <c r="Y16" s="19" t="n">
        <f aca="false">Assumptions!$B$35</f>
        <v>25</v>
      </c>
      <c r="Z16" s="20" t="n">
        <f aca="false">SUM(B16:Y16)</f>
        <v>600</v>
      </c>
    </row>
    <row r="17" customFormat="false" ht="15" hidden="false" customHeight="false" outlineLevel="0" collapsed="false">
      <c r="A17" s="8" t="s">
        <v>206</v>
      </c>
      <c r="B17" s="19" t="n">
        <f aca="false">Assumptions!$B$36*MIN(3.5, MAX(1, 1 + SQRT(MAX(0, Funnel_24mo!B21 - 1)) * 0.1))</f>
        <v>53.4481879299133</v>
      </c>
      <c r="C17" s="19" t="n">
        <f aca="false">Assumptions!$B$36*MIN(3.5, MAX(1, 1 + SQRT(MAX(0, Funnel_24mo!C21 - 1)) * 0.1))</f>
        <v>62.9110998756884</v>
      </c>
      <c r="D17" s="19" t="n">
        <f aca="false">Assumptions!$B$36*MIN(3.5, MAX(1, 1 + SQRT(MAX(0, Funnel_24mo!D21 - 1)) * 0.1))</f>
        <v>70.5128878695809</v>
      </c>
      <c r="E17" s="19" t="n">
        <f aca="false">Assumptions!$B$36*MIN(3.5, MAX(1, 1 + SQRT(MAX(0, Funnel_24mo!E21 - 1)) * 0.1))</f>
        <v>82.0027563114687</v>
      </c>
      <c r="F17" s="19" t="n">
        <f aca="false">Assumptions!$B$36*MIN(3.5, MAX(1, 1 + SQRT(MAX(0, Funnel_24mo!F21 - 1)) * 0.1))</f>
        <v>92.3549298291109</v>
      </c>
      <c r="G17" s="19" t="n">
        <f aca="false">Assumptions!$B$36*MIN(3.5, MAX(1, 1 + SQRT(MAX(0, Funnel_24mo!G21 - 1)) * 0.1))</f>
        <v>102.216936180162</v>
      </c>
      <c r="H17" s="19" t="n">
        <f aca="false">Assumptions!$B$36*MIN(3.5, MAX(1, 1 + SQRT(MAX(0, Funnel_24mo!H21 - 1)) * 0.1))</f>
        <v>117.789627110185</v>
      </c>
      <c r="I17" s="19" t="n">
        <f aca="false">Assumptions!$B$36*MIN(3.5, MAX(1, 1 + SQRT(MAX(0, Funnel_24mo!I21 - 1)) * 0.1))</f>
        <v>133.374335748668</v>
      </c>
      <c r="J17" s="19" t="n">
        <f aca="false">Assumptions!$B$36*MIN(3.5, MAX(1, 1 + SQRT(MAX(0, Funnel_24mo!J21 - 1)) * 0.1))</f>
        <v>148.914216715001</v>
      </c>
      <c r="K17" s="19" t="n">
        <f aca="false">Assumptions!$B$36*MIN(3.5, MAX(1, 1 + SQRT(MAX(0, Funnel_24mo!K21 - 1)) * 0.1))</f>
        <v>164.384402009574</v>
      </c>
      <c r="L17" s="19" t="n">
        <f aca="false">Assumptions!$B$36*MIN(3.5, MAX(1, 1 + SQRT(MAX(0, Funnel_24mo!L21 - 1)) * 0.1))</f>
        <v>175</v>
      </c>
      <c r="M17" s="19" t="n">
        <f aca="false">Assumptions!$B$36*MIN(3.5, MAX(1, 1 + SQRT(MAX(0, Funnel_24mo!M21 - 1)) * 0.1))</f>
        <v>175</v>
      </c>
      <c r="N17" s="19" t="n">
        <f aca="false">Assumptions!$B$36*MIN(3.5, MAX(1, 1 + SQRT(MAX(0, Funnel_24mo!N21 - 1)) * 0.1))</f>
        <v>175</v>
      </c>
      <c r="O17" s="19" t="n">
        <f aca="false">Assumptions!$B$36*MIN(3.5, MAX(1, 1 + SQRT(MAX(0, Funnel_24mo!O21 - 1)) * 0.1))</f>
        <v>175</v>
      </c>
      <c r="P17" s="19" t="n">
        <f aca="false">Assumptions!$B$36*MIN(3.5, MAX(1, 1 + SQRT(MAX(0, Funnel_24mo!P21 - 1)) * 0.1))</f>
        <v>175</v>
      </c>
      <c r="Q17" s="19" t="n">
        <f aca="false">Assumptions!$B$36*MIN(3.5, MAX(1, 1 + SQRT(MAX(0, Funnel_24mo!Q21 - 1)) * 0.1))</f>
        <v>175</v>
      </c>
      <c r="R17" s="19" t="n">
        <f aca="false">Assumptions!$B$36*MIN(3.5, MAX(1, 1 + SQRT(MAX(0, Funnel_24mo!R21 - 1)) * 0.1))</f>
        <v>175</v>
      </c>
      <c r="S17" s="19" t="n">
        <f aca="false">Assumptions!$B$36*MIN(3.5, MAX(1, 1 + SQRT(MAX(0, Funnel_24mo!S21 - 1)) * 0.1))</f>
        <v>175</v>
      </c>
      <c r="T17" s="19" t="n">
        <f aca="false">Assumptions!$B$36*MIN(3.5, MAX(1, 1 + SQRT(MAX(0, Funnel_24mo!T21 - 1)) * 0.1))</f>
        <v>175</v>
      </c>
      <c r="U17" s="19" t="n">
        <f aca="false">Assumptions!$B$36*MIN(3.5, MAX(1, 1 + SQRT(MAX(0, Funnel_24mo!U21 - 1)) * 0.1))</f>
        <v>175</v>
      </c>
      <c r="V17" s="19" t="n">
        <f aca="false">Assumptions!$B$36*MIN(3.5, MAX(1, 1 + SQRT(MAX(0, Funnel_24mo!V21 - 1)) * 0.1))</f>
        <v>175</v>
      </c>
      <c r="W17" s="19" t="n">
        <f aca="false">Assumptions!$B$36*MIN(3.5, MAX(1, 1 + SQRT(MAX(0, Funnel_24mo!W21 - 1)) * 0.1))</f>
        <v>175</v>
      </c>
      <c r="X17" s="19" t="n">
        <f aca="false">Assumptions!$B$36*MIN(3.5, MAX(1, 1 + SQRT(MAX(0, Funnel_24mo!X21 - 1)) * 0.1))</f>
        <v>175</v>
      </c>
      <c r="Y17" s="19" t="n">
        <f aca="false">Assumptions!$B$36*MIN(3.5, MAX(1, 1 + SQRT(MAX(0, Funnel_24mo!Y21 - 1)) * 0.1))</f>
        <v>175</v>
      </c>
      <c r="Z17" s="20" t="n">
        <f aca="false">SUM(B17:Y17)</f>
        <v>3477.90937957935</v>
      </c>
    </row>
    <row r="18" customFormat="false" ht="15" hidden="false" customHeight="true" outlineLevel="0" collapsed="false">
      <c r="A18" s="7" t="s">
        <v>207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15" hidden="false" customHeight="false" outlineLevel="0" collapsed="false">
      <c r="A19" s="8" t="s">
        <v>208</v>
      </c>
      <c r="B19" s="19" t="n">
        <f aca="false">Funnel_24mo!B21*Assumptions!$B$15</f>
        <v>7.378</v>
      </c>
      <c r="C19" s="19" t="n">
        <f aca="false">Funnel_24mo!C21*Assumptions!$B$15</f>
        <v>38.3393</v>
      </c>
      <c r="D19" s="19" t="n">
        <f aca="false">Funnel_24mo!D21*Assumptions!$B$15</f>
        <v>89.15571375</v>
      </c>
      <c r="E19" s="19" t="n">
        <f aca="false">Funnel_24mo!E21*Assumptions!$B$15</f>
        <v>209.83528230625</v>
      </c>
      <c r="F19" s="19" t="n">
        <f aca="false">Funnel_24mo!F21*Assumptions!$B$15</f>
        <v>363.788016165781</v>
      </c>
      <c r="G19" s="19" t="n">
        <f aca="false">Funnel_24mo!G21*Assumptions!$B$15</f>
        <v>550.321684808621</v>
      </c>
      <c r="H19" s="19" t="n">
        <f aca="false">Funnel_24mo!H21*Assumptions!$B$15</f>
        <v>924.086708747582</v>
      </c>
      <c r="I19" s="19" t="n">
        <f aca="false">Funnel_24mo!I21*Assumptions!$B$15</f>
        <v>1395.25597230633</v>
      </c>
      <c r="J19" s="19" t="n">
        <f aca="false">Funnel_24mo!J21*(Assumptions!$B$15*(1-Assumptions!$B$16))</f>
        <v>980.902226834226</v>
      </c>
      <c r="K19" s="19" t="n">
        <f aca="false">Funnel_24mo!K21*(Assumptions!$B$15*(1-Assumptions!$B$16))</f>
        <v>1310.87914230878</v>
      </c>
      <c r="L19" s="19" t="n">
        <f aca="false">Funnel_24mo!L21*(Assumptions!$B$15*(1-Assumptions!$B$16))</f>
        <v>1686.59658345442</v>
      </c>
      <c r="M19" s="19" t="n">
        <f aca="false">Funnel_24mo!M21*(Assumptions!$B$15*(1-Assumptions!$B$16))</f>
        <v>2107.11642326676</v>
      </c>
      <c r="N19" s="19" t="n">
        <f aca="false">Funnel_24mo!N21*(Assumptions!$B$15*(1-Assumptions!$B$16))</f>
        <v>2582.44548841733</v>
      </c>
      <c r="O19" s="19" t="n">
        <f aca="false">Funnel_24mo!O21*(Assumptions!$B$15*(1-Assumptions!$B$16))</f>
        <v>3110.5633507688</v>
      </c>
      <c r="P19" s="19" t="n">
        <f aca="false">Funnel_24mo!P21*(Assumptions!$B$15*(1-Assumptions!$B$16))</f>
        <v>3690.39360067915</v>
      </c>
      <c r="Q19" s="19" t="n">
        <f aca="false">Funnel_24mo!Q21*(Assumptions!$B$15*(1-Assumptions!$B$16))</f>
        <v>4320.88634948471</v>
      </c>
      <c r="R19" s="19" t="n">
        <f aca="false">Funnel_24mo!R21*(Assumptions!$B$15*(1-Assumptions!$B$16))</f>
        <v>5001.01742856526</v>
      </c>
      <c r="S19" s="19" t="n">
        <f aca="false">Funnel_24mo!S21*(Assumptions!$B$15*(1-Assumptions!$B$16))</f>
        <v>5729.78761711066</v>
      </c>
      <c r="T19" s="19" t="n">
        <f aca="false">Funnel_24mo!T21*(Assumptions!$B$15*(1-Assumptions!$B$16))</f>
        <v>6506.22189742785</v>
      </c>
      <c r="U19" s="19" t="n">
        <f aca="false">Funnel_24mo!U21*(Assumptions!$B$15*(1-Assumptions!$B$16))</f>
        <v>7329.36873667856</v>
      </c>
      <c r="V19" s="19" t="n">
        <f aca="false">Funnel_24mo!V21*(Assumptions!$B$15*(1-Assumptions!$B$16))</f>
        <v>8198.29939398585</v>
      </c>
      <c r="W19" s="19" t="n">
        <f aca="false">Funnel_24mo!W21*(Assumptions!$B$15*(1-Assumptions!$B$16))</f>
        <v>9112.10725189444</v>
      </c>
      <c r="X19" s="19" t="n">
        <f aca="false">Funnel_24mo!X21*(Assumptions!$B$15*(1-Assumptions!$B$16))</f>
        <v>10069.9071712134</v>
      </c>
      <c r="Y19" s="19" t="n">
        <f aca="false">Funnel_24mo!Y21*(Assumptions!$B$15*(1-Assumptions!$B$16))</f>
        <v>11070.8348683123</v>
      </c>
      <c r="Z19" s="20" t="n">
        <f aca="false">SUM(B19:Y19)</f>
        <v>86385.488208487</v>
      </c>
    </row>
    <row r="20" customFormat="false" ht="15" hidden="false" customHeight="true" outlineLevel="0" collapsed="false">
      <c r="A20" s="7" t="s">
        <v>209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Format="false" ht="15" hidden="false" customHeight="false" outlineLevel="0" collapsed="false">
      <c r="A21" s="8" t="s">
        <v>210</v>
      </c>
      <c r="B21" s="19" t="n">
        <f aca="false">Assumptions!$B$40</f>
        <v>0</v>
      </c>
      <c r="C21" s="19" t="n">
        <f aca="false">Assumptions!$B$40</f>
        <v>0</v>
      </c>
      <c r="D21" s="19" t="n">
        <f aca="false">Assumptions!$B$40</f>
        <v>0</v>
      </c>
      <c r="E21" s="19" t="n">
        <f aca="false">Assumptions!$B$40</f>
        <v>0</v>
      </c>
      <c r="F21" s="19" t="n">
        <f aca="false">Assumptions!$B$40</f>
        <v>0</v>
      </c>
      <c r="G21" s="19" t="n">
        <f aca="false">Assumptions!$B$40</f>
        <v>0</v>
      </c>
      <c r="H21" s="19" t="n">
        <f aca="false">Assumptions!$B$40</f>
        <v>0</v>
      </c>
      <c r="I21" s="19" t="n">
        <f aca="false">Assumptions!$B$40</f>
        <v>0</v>
      </c>
      <c r="J21" s="19" t="n">
        <f aca="false">Assumptions!$B$40</f>
        <v>0</v>
      </c>
      <c r="K21" s="19" t="n">
        <f aca="false">Assumptions!$B$40</f>
        <v>0</v>
      </c>
      <c r="L21" s="19" t="n">
        <f aca="false">Assumptions!$B$40</f>
        <v>0</v>
      </c>
      <c r="M21" s="19" t="n">
        <f aca="false">Assumptions!$B$40</f>
        <v>0</v>
      </c>
      <c r="N21" s="19" t="n">
        <f aca="false">Assumptions!$B$40</f>
        <v>0</v>
      </c>
      <c r="O21" s="19" t="n">
        <f aca="false">Assumptions!$B$40</f>
        <v>0</v>
      </c>
      <c r="P21" s="19" t="n">
        <f aca="false">Assumptions!$B$40</f>
        <v>0</v>
      </c>
      <c r="Q21" s="19" t="n">
        <f aca="false">Assumptions!$B$40</f>
        <v>0</v>
      </c>
      <c r="R21" s="19" t="n">
        <f aca="false">Assumptions!$B$40</f>
        <v>0</v>
      </c>
      <c r="S21" s="19" t="n">
        <f aca="false">Assumptions!$B$40</f>
        <v>0</v>
      </c>
      <c r="T21" s="19" t="n">
        <f aca="false">Assumptions!$B$40</f>
        <v>0</v>
      </c>
      <c r="U21" s="19" t="n">
        <f aca="false">Assumptions!$B$40</f>
        <v>0</v>
      </c>
      <c r="V21" s="19" t="n">
        <f aca="false">Assumptions!$B$40</f>
        <v>0</v>
      </c>
      <c r="W21" s="19" t="n">
        <f aca="false">Assumptions!$B$40</f>
        <v>0</v>
      </c>
      <c r="X21" s="19" t="n">
        <f aca="false">Assumptions!$B$40</f>
        <v>0</v>
      </c>
      <c r="Y21" s="19" t="n">
        <f aca="false">Assumptions!$B$40</f>
        <v>0</v>
      </c>
      <c r="Z21" s="20" t="n">
        <f aca="false">SUM(B21:Y21)</f>
        <v>0</v>
      </c>
    </row>
    <row r="22" customFormat="false" ht="15" hidden="false" customHeight="false" outlineLevel="0" collapsed="false">
      <c r="A22" s="8" t="s">
        <v>211</v>
      </c>
      <c r="B22" s="19" t="n">
        <f aca="false">Assumptions!$B$41</f>
        <v>500</v>
      </c>
      <c r="C22" s="19" t="n">
        <f aca="false">Assumptions!$B$41</f>
        <v>500</v>
      </c>
      <c r="D22" s="19" t="n">
        <f aca="false">Assumptions!$B$41</f>
        <v>500</v>
      </c>
      <c r="E22" s="19" t="n">
        <f aca="false">Assumptions!$B$41</f>
        <v>500</v>
      </c>
      <c r="F22" s="19" t="n">
        <f aca="false">Assumptions!$B$41</f>
        <v>500</v>
      </c>
      <c r="G22" s="19" t="n">
        <f aca="false">Assumptions!$B$41</f>
        <v>500</v>
      </c>
      <c r="H22" s="19" t="n">
        <f aca="false">Assumptions!$B$41</f>
        <v>500</v>
      </c>
      <c r="I22" s="19" t="n">
        <f aca="false">Assumptions!$B$41</f>
        <v>500</v>
      </c>
      <c r="J22" s="19" t="n">
        <f aca="false">Assumptions!$B$41</f>
        <v>500</v>
      </c>
      <c r="K22" s="19" t="n">
        <f aca="false">Assumptions!$B$41</f>
        <v>500</v>
      </c>
      <c r="L22" s="19" t="n">
        <f aca="false">Assumptions!$B$41</f>
        <v>500</v>
      </c>
      <c r="M22" s="19" t="n">
        <f aca="false">Assumptions!$B$41</f>
        <v>500</v>
      </c>
      <c r="N22" s="19" t="n">
        <f aca="false">Assumptions!$B$41*Assumptions!$B$42</f>
        <v>2000</v>
      </c>
      <c r="O22" s="19" t="n">
        <f aca="false">Assumptions!$B$41*Assumptions!$B$42</f>
        <v>2000</v>
      </c>
      <c r="P22" s="19" t="n">
        <f aca="false">Assumptions!$B$41*Assumptions!$B$42</f>
        <v>2000</v>
      </c>
      <c r="Q22" s="19" t="n">
        <f aca="false">Assumptions!$B$41*Assumptions!$B$42</f>
        <v>2000</v>
      </c>
      <c r="R22" s="19" t="n">
        <f aca="false">Assumptions!$B$41*Assumptions!$B$42</f>
        <v>2000</v>
      </c>
      <c r="S22" s="19" t="n">
        <f aca="false">Assumptions!$B$41*Assumptions!$B$42</f>
        <v>2000</v>
      </c>
      <c r="T22" s="19" t="n">
        <f aca="false">Assumptions!$B$41*Assumptions!$B$42</f>
        <v>2000</v>
      </c>
      <c r="U22" s="19" t="n">
        <f aca="false">Assumptions!$B$41*Assumptions!$B$42</f>
        <v>2000</v>
      </c>
      <c r="V22" s="19" t="n">
        <f aca="false">Assumptions!$B$41*Assumptions!$B$42</f>
        <v>2000</v>
      </c>
      <c r="W22" s="19" t="n">
        <f aca="false">Assumptions!$B$41*Assumptions!$B$42</f>
        <v>2000</v>
      </c>
      <c r="X22" s="19" t="n">
        <f aca="false">Assumptions!$B$41*Assumptions!$B$42</f>
        <v>2000</v>
      </c>
      <c r="Y22" s="19" t="n">
        <f aca="false">Assumptions!$B$41*Assumptions!$B$42</f>
        <v>2000</v>
      </c>
      <c r="Z22" s="20" t="n">
        <f aca="false">SUM(B22:Y22)</f>
        <v>30000</v>
      </c>
    </row>
    <row r="23" customFormat="false" ht="15" hidden="false" customHeight="true" outlineLevel="0" collapsed="false">
      <c r="A23" s="7" t="s">
        <v>99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Format="false" ht="15" hidden="false" customHeight="false" outlineLevel="0" collapsed="false">
      <c r="A24" s="8" t="s">
        <v>212</v>
      </c>
      <c r="B24" s="19" t="n">
        <f aca="false">Assumptions!$B$45</f>
        <v>200</v>
      </c>
      <c r="C24" s="19" t="n">
        <f aca="false">Assumptions!$B$45</f>
        <v>200</v>
      </c>
      <c r="D24" s="19" t="n">
        <f aca="false">Assumptions!$B$45</f>
        <v>200</v>
      </c>
      <c r="E24" s="19" t="n">
        <f aca="false">Assumptions!$B$45</f>
        <v>200</v>
      </c>
      <c r="F24" s="19" t="n">
        <f aca="false">Assumptions!$B$45</f>
        <v>200</v>
      </c>
      <c r="G24" s="19" t="n">
        <f aca="false">Assumptions!$B$45</f>
        <v>200</v>
      </c>
      <c r="H24" s="19" t="n">
        <f aca="false">Assumptions!$B$46</f>
        <v>1500</v>
      </c>
      <c r="I24" s="19" t="n">
        <f aca="false">Assumptions!$B$46</f>
        <v>1500</v>
      </c>
      <c r="J24" s="19" t="n">
        <f aca="false">Assumptions!$B$46</f>
        <v>1500</v>
      </c>
      <c r="K24" s="19" t="n">
        <f aca="false">Assumptions!$B$46</f>
        <v>1500</v>
      </c>
      <c r="L24" s="19" t="n">
        <f aca="false">Assumptions!$B$46</f>
        <v>1500</v>
      </c>
      <c r="M24" s="19" t="n">
        <f aca="false">Assumptions!$B$46</f>
        <v>1500</v>
      </c>
      <c r="N24" s="19" t="n">
        <f aca="false">Assumptions!$B$47</f>
        <v>5000</v>
      </c>
      <c r="O24" s="19" t="n">
        <f aca="false">Assumptions!$B$47</f>
        <v>5000</v>
      </c>
      <c r="P24" s="19" t="n">
        <f aca="false">Assumptions!$B$47</f>
        <v>5000</v>
      </c>
      <c r="Q24" s="19" t="n">
        <f aca="false">Assumptions!$B$47</f>
        <v>5000</v>
      </c>
      <c r="R24" s="19" t="n">
        <f aca="false">Assumptions!$B$47</f>
        <v>5000</v>
      </c>
      <c r="S24" s="19" t="n">
        <f aca="false">Assumptions!$B$47</f>
        <v>5000</v>
      </c>
      <c r="T24" s="19" t="n">
        <f aca="false">Assumptions!$B$47</f>
        <v>5000</v>
      </c>
      <c r="U24" s="19" t="n">
        <f aca="false">Assumptions!$B$47</f>
        <v>5000</v>
      </c>
      <c r="V24" s="19" t="n">
        <f aca="false">Assumptions!$B$47</f>
        <v>5000</v>
      </c>
      <c r="W24" s="19" t="n">
        <f aca="false">Assumptions!$B$47</f>
        <v>5000</v>
      </c>
      <c r="X24" s="19" t="n">
        <f aca="false">Assumptions!$B$47</f>
        <v>5000</v>
      </c>
      <c r="Y24" s="19" t="n">
        <f aca="false">Assumptions!$B$47</f>
        <v>5000</v>
      </c>
      <c r="Z24" s="20" t="n">
        <f aca="false">SUM(B24:Y24)</f>
        <v>70200</v>
      </c>
    </row>
    <row r="25" customFormat="false" ht="15" hidden="false" customHeight="false" outlineLevel="0" collapsed="false">
      <c r="A25" s="8" t="s">
        <v>213</v>
      </c>
      <c r="B25" s="19" t="n">
        <f aca="false">Assumptions!$B$48</f>
        <v>300</v>
      </c>
      <c r="C25" s="19" t="n">
        <f aca="false">Assumptions!$B$48</f>
        <v>300</v>
      </c>
      <c r="D25" s="19" t="n">
        <f aca="false">Assumptions!$B$48</f>
        <v>300</v>
      </c>
      <c r="E25" s="19" t="n">
        <f aca="false">Assumptions!$B$48</f>
        <v>300</v>
      </c>
      <c r="F25" s="19" t="n">
        <f aca="false">Assumptions!$B$48</f>
        <v>300</v>
      </c>
      <c r="G25" s="19" t="n">
        <f aca="false">Assumptions!$B$48</f>
        <v>300</v>
      </c>
      <c r="H25" s="19" t="n">
        <f aca="false">Assumptions!$B$48</f>
        <v>300</v>
      </c>
      <c r="I25" s="19" t="n">
        <f aca="false">Assumptions!$B$48</f>
        <v>300</v>
      </c>
      <c r="J25" s="19" t="n">
        <f aca="false">Assumptions!$B$48</f>
        <v>300</v>
      </c>
      <c r="K25" s="19" t="n">
        <f aca="false">Assumptions!$B$48</f>
        <v>300</v>
      </c>
      <c r="L25" s="19" t="n">
        <f aca="false">Assumptions!$B$48</f>
        <v>300</v>
      </c>
      <c r="M25" s="19" t="n">
        <f aca="false">Assumptions!$B$48</f>
        <v>300</v>
      </c>
      <c r="N25" s="19" t="n">
        <f aca="false">Assumptions!$B$48</f>
        <v>300</v>
      </c>
      <c r="O25" s="19" t="n">
        <f aca="false">Assumptions!$B$48</f>
        <v>300</v>
      </c>
      <c r="P25" s="19" t="n">
        <f aca="false">Assumptions!$B$48</f>
        <v>300</v>
      </c>
      <c r="Q25" s="19" t="n">
        <f aca="false">Assumptions!$B$48</f>
        <v>300</v>
      </c>
      <c r="R25" s="19" t="n">
        <f aca="false">Assumptions!$B$48</f>
        <v>300</v>
      </c>
      <c r="S25" s="19" t="n">
        <f aca="false">Assumptions!$B$48</f>
        <v>300</v>
      </c>
      <c r="T25" s="19" t="n">
        <f aca="false">Assumptions!$B$48</f>
        <v>300</v>
      </c>
      <c r="U25" s="19" t="n">
        <f aca="false">Assumptions!$B$48</f>
        <v>300</v>
      </c>
      <c r="V25" s="19" t="n">
        <f aca="false">Assumptions!$B$48</f>
        <v>300</v>
      </c>
      <c r="W25" s="19" t="n">
        <f aca="false">Assumptions!$B$48</f>
        <v>300</v>
      </c>
      <c r="X25" s="19" t="n">
        <f aca="false">Assumptions!$B$48</f>
        <v>300</v>
      </c>
      <c r="Y25" s="19" t="n">
        <f aca="false">Assumptions!$B$48</f>
        <v>300</v>
      </c>
      <c r="Z25" s="20" t="n">
        <f aca="false">SUM(B25:Y25)</f>
        <v>7200</v>
      </c>
    </row>
    <row r="26" customFormat="false" ht="12.65" hidden="false" customHeight="true" outlineLevel="0" collapsed="false">
      <c r="A26" s="7" t="s">
        <v>214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5" hidden="false" customHeight="false" outlineLevel="0" collapsed="false">
      <c r="A27" s="21" t="s">
        <v>215</v>
      </c>
      <c r="B27" s="22" t="n">
        <f aca="false">SUM(B6:B25)</f>
        <v>2282.41169136922</v>
      </c>
      <c r="C27" s="22" t="n">
        <f aca="false">SUM(C6:C25)</f>
        <v>2398.5391988812</v>
      </c>
      <c r="D27" s="22" t="n">
        <f aca="false">SUM(D6:D25)</f>
        <v>2517.77170457623</v>
      </c>
      <c r="E27" s="22" t="n">
        <f aca="false">SUM(E6:E25)</f>
        <v>2741.86008910947</v>
      </c>
      <c r="F27" s="22" t="n">
        <f aca="false">SUM(F6:F25)</f>
        <v>2988.98238462778</v>
      </c>
      <c r="G27" s="22" t="n">
        <f aca="false">SUM(G6:G25)</f>
        <v>3264.27411043008</v>
      </c>
      <c r="H27" s="22" t="n">
        <f aca="false">SUM(H6:H25)</f>
        <v>5218.19335273925</v>
      </c>
      <c r="I27" s="22" t="n">
        <f aca="false">SUM(I6:I25)</f>
        <v>5829.62499404435</v>
      </c>
      <c r="J27" s="22" t="n">
        <f aca="false">SUM(J6:J25)</f>
        <v>5555.13017726924</v>
      </c>
      <c r="K27" s="22" t="n">
        <f aca="false">SUM(K6:K25)</f>
        <v>6024.33876039495</v>
      </c>
      <c r="L27" s="22" t="n">
        <f aca="false">SUM(L6:L25)</f>
        <v>6495.59658345442</v>
      </c>
      <c r="M27" s="22" t="n">
        <f aca="false">SUM(M6:M25)</f>
        <v>6916.11642326676</v>
      </c>
      <c r="N27" s="22" t="n">
        <f aca="false">SUM(N6:N25)</f>
        <v>12587.4454884173</v>
      </c>
      <c r="O27" s="22" t="n">
        <f aca="false">SUM(O6:O25)</f>
        <v>13115.5633507688</v>
      </c>
      <c r="P27" s="22" t="n">
        <f aca="false">SUM(P6:P25)</f>
        <v>13695.3936006792</v>
      </c>
      <c r="Q27" s="22" t="n">
        <f aca="false">SUM(Q6:Q25)</f>
        <v>14325.8863494847</v>
      </c>
      <c r="R27" s="22" t="n">
        <f aca="false">SUM(R6:R25)</f>
        <v>15006.0174285653</v>
      </c>
      <c r="S27" s="22" t="n">
        <f aca="false">SUM(S6:S25)</f>
        <v>15734.7876171107</v>
      </c>
      <c r="T27" s="22" t="n">
        <f aca="false">SUM(T6:T25)</f>
        <v>16785.6218974279</v>
      </c>
      <c r="U27" s="22" t="n">
        <f aca="false">SUM(U6:U25)</f>
        <v>17608.7687366786</v>
      </c>
      <c r="V27" s="22" t="n">
        <f aca="false">SUM(V6:V25)</f>
        <v>18477.6993939859</v>
      </c>
      <c r="W27" s="22" t="n">
        <f aca="false">SUM(W6:W25)</f>
        <v>19391.5072518944</v>
      </c>
      <c r="X27" s="22" t="n">
        <f aca="false">SUM(X6:X25)</f>
        <v>20349.3071712134</v>
      </c>
      <c r="Y27" s="22" t="n">
        <f aca="false">SUM(Y6:Y25)</f>
        <v>21350.2348683123</v>
      </c>
      <c r="Z27" s="22" t="n">
        <f aca="false">SUM(B27:Y27)</f>
        <v>250661.072624701</v>
      </c>
    </row>
  </sheetData>
  <mergeCells count="7">
    <mergeCell ref="A5:Z5"/>
    <mergeCell ref="A9:Z9"/>
    <mergeCell ref="A11:Z11"/>
    <mergeCell ref="A18:Z18"/>
    <mergeCell ref="A20:Z20"/>
    <mergeCell ref="A23:Z23"/>
    <mergeCell ref="A26:Z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8"/>
    <col collapsed="false" customWidth="true" hidden="false" outlineLevel="0" max="3" min="3" style="1" width="70"/>
  </cols>
  <sheetData>
    <row r="1" customFormat="false" ht="17.35" hidden="false" customHeight="false" outlineLevel="0" collapsed="false">
      <c r="A1" s="2" t="s">
        <v>216</v>
      </c>
    </row>
    <row r="2" customFormat="false" ht="15" hidden="false" customHeight="false" outlineLevel="0" collapsed="false">
      <c r="A2" s="3" t="s">
        <v>217</v>
      </c>
    </row>
    <row r="4" customFormat="false" ht="15" hidden="false" customHeight="false" outlineLevel="0" collapsed="false">
      <c r="A4" s="6" t="s">
        <v>218</v>
      </c>
      <c r="B4" s="6" t="s">
        <v>36</v>
      </c>
      <c r="C4" s="6" t="s">
        <v>219</v>
      </c>
    </row>
    <row r="5" customFormat="false" ht="15" hidden="false" customHeight="false" outlineLevel="0" collapsed="false">
      <c r="A5" s="8" t="s">
        <v>220</v>
      </c>
      <c r="B5" s="23" t="n">
        <f aca="false">Assumptions!$B$12</f>
        <v>10000</v>
      </c>
      <c r="C5" s="10" t="s">
        <v>221</v>
      </c>
    </row>
    <row r="6" customFormat="false" ht="15" hidden="false" customHeight="false" outlineLevel="0" collapsed="false">
      <c r="A6" s="8" t="s">
        <v>222</v>
      </c>
      <c r="B6" s="24" t="n">
        <f aca="false">Assumptions!$B$15/1000000</f>
        <v>5E-006</v>
      </c>
      <c r="C6" s="10" t="s">
        <v>223</v>
      </c>
    </row>
    <row r="7" customFormat="false" ht="15" hidden="false" customHeight="false" outlineLevel="0" collapsed="false">
      <c r="A7" s="8" t="s">
        <v>224</v>
      </c>
      <c r="B7" s="24" t="n">
        <f aca="false">B5*B6</f>
        <v>0.05</v>
      </c>
      <c r="C7" s="10" t="s">
        <v>225</v>
      </c>
    </row>
    <row r="8" customFormat="false" ht="15" hidden="false" customHeight="false" outlineLevel="0" collapsed="false">
      <c r="A8" s="8" t="s">
        <v>226</v>
      </c>
      <c r="B8" s="14" t="n">
        <v>0.55</v>
      </c>
      <c r="C8" s="10" t="s">
        <v>227</v>
      </c>
    </row>
    <row r="9" customFormat="false" ht="15" hidden="false" customHeight="false" outlineLevel="0" collapsed="false">
      <c r="A9" s="8" t="s">
        <v>228</v>
      </c>
      <c r="B9" s="24" t="n">
        <f aca="false">B7*B8</f>
        <v>0.0275</v>
      </c>
      <c r="C9" s="10" t="s">
        <v>229</v>
      </c>
    </row>
    <row r="10" customFormat="false" ht="15" hidden="false" customHeight="false" outlineLevel="0" collapsed="false">
      <c r="A10" s="8" t="s">
        <v>230</v>
      </c>
      <c r="B10" s="15" t="n">
        <v>0.4</v>
      </c>
      <c r="C10" s="10" t="s">
        <v>231</v>
      </c>
    </row>
    <row r="11" customFormat="false" ht="15" hidden="false" customHeight="false" outlineLevel="0" collapsed="false">
      <c r="A11" s="8" t="s">
        <v>232</v>
      </c>
      <c r="B11" s="24" t="n">
        <f aca="false">SUM(Cost_Stack!B24:Y24)/Funnel_24mo!Z5</f>
        <v>0.834720570749108</v>
      </c>
      <c r="C11" s="10" t="s">
        <v>233</v>
      </c>
    </row>
    <row r="12" customFormat="false" ht="15" hidden="false" customHeight="false" outlineLevel="0" collapsed="false">
      <c r="A12" s="8" t="s">
        <v>234</v>
      </c>
      <c r="B12" s="24" t="n">
        <f aca="false">B9+B10+B11</f>
        <v>1.26222057074911</v>
      </c>
      <c r="C12" s="10" t="s">
        <v>235</v>
      </c>
    </row>
    <row r="13" customFormat="false" ht="15" hidden="false" customHeight="false" outlineLevel="0" collapsed="false">
      <c r="A13" s="8" t="s">
        <v>236</v>
      </c>
      <c r="B13" s="19" t="n">
        <f aca="false">(Assumptions!$B$5*Assumptions!$B$60)+(Assumptions!$B$7*Assumptions!$B$61)+(Assumptions!$B$9*Assumptions!$B$62)</f>
        <v>184</v>
      </c>
      <c r="C13" s="10" t="s">
        <v>237</v>
      </c>
    </row>
    <row r="14" customFormat="false" ht="15" hidden="false" customHeight="false" outlineLevel="0" collapsed="false">
      <c r="A14" s="8" t="s">
        <v>238</v>
      </c>
      <c r="B14" s="25" t="n">
        <f aca="false">B12/B13</f>
        <v>0.00685989440624515</v>
      </c>
      <c r="C14" s="10" t="s">
        <v>239</v>
      </c>
    </row>
    <row r="15" customFormat="false" ht="15" hidden="false" customHeight="false" outlineLevel="0" collapsed="false">
      <c r="A15" s="8" t="s">
        <v>240</v>
      </c>
      <c r="B15" s="19" t="n">
        <f aca="false">UnitEcon!E15</f>
        <v>4791.30029364162</v>
      </c>
      <c r="C15" s="10" t="s">
        <v>241</v>
      </c>
    </row>
    <row r="16" customFormat="false" ht="15" hidden="false" customHeight="false" outlineLevel="0" collapsed="false">
      <c r="A16" s="8" t="s">
        <v>242</v>
      </c>
      <c r="B16" s="25" t="n">
        <f aca="false">B12/B15</f>
        <v>0.000263440087949436</v>
      </c>
      <c r="C16" s="10" t="s">
        <v>243</v>
      </c>
    </row>
    <row r="17" customFormat="false" ht="15" hidden="false" customHeight="false" outlineLevel="0" collapsed="false">
      <c r="A17" s="8" t="s">
        <v>244</v>
      </c>
      <c r="B17" s="25" t="n">
        <f aca="false">Assumptions!$B$57</f>
        <v>0.18</v>
      </c>
      <c r="C17" s="10" t="s">
        <v>245</v>
      </c>
    </row>
    <row r="18" customFormat="false" ht="15" hidden="false" customHeight="false" outlineLevel="0" collapsed="false">
      <c r="A18" s="8" t="s">
        <v>246</v>
      </c>
      <c r="B18" s="25" t="n">
        <f aca="false">B17-B16</f>
        <v>0.179736559912051</v>
      </c>
      <c r="C18" s="10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5" min="2" style="1" width="12"/>
    <col collapsed="false" customWidth="true" hidden="false" outlineLevel="0" max="26" min="26" style="1" width="14"/>
  </cols>
  <sheetData>
    <row r="1" customFormat="false" ht="17.35" hidden="false" customHeight="false" outlineLevel="0" collapsed="false">
      <c r="A1" s="2" t="s">
        <v>248</v>
      </c>
    </row>
    <row r="2" customFormat="false" ht="15" hidden="false" customHeight="false" outlineLevel="0" collapsed="false">
      <c r="A2" s="3" t="s">
        <v>249</v>
      </c>
    </row>
    <row r="4" customFormat="false" ht="15" hidden="false" customHeight="false" outlineLevel="0" collapsed="false">
      <c r="A4" s="6" t="s">
        <v>218</v>
      </c>
      <c r="B4" s="6" t="s">
        <v>169</v>
      </c>
      <c r="C4" s="6" t="s">
        <v>170</v>
      </c>
      <c r="D4" s="6" t="s">
        <v>171</v>
      </c>
      <c r="E4" s="6" t="s">
        <v>172</v>
      </c>
      <c r="F4" s="6" t="s">
        <v>173</v>
      </c>
      <c r="G4" s="6" t="s">
        <v>174</v>
      </c>
      <c r="H4" s="6" t="s">
        <v>175</v>
      </c>
      <c r="I4" s="6" t="s">
        <v>176</v>
      </c>
      <c r="J4" s="6" t="s">
        <v>177</v>
      </c>
      <c r="K4" s="6" t="s">
        <v>178</v>
      </c>
      <c r="L4" s="6" t="s">
        <v>179</v>
      </c>
      <c r="M4" s="6" t="s">
        <v>180</v>
      </c>
      <c r="N4" s="6" t="s">
        <v>181</v>
      </c>
      <c r="O4" s="6" t="s">
        <v>182</v>
      </c>
      <c r="P4" s="6" t="s">
        <v>183</v>
      </c>
      <c r="Q4" s="6" t="s">
        <v>184</v>
      </c>
      <c r="R4" s="6" t="s">
        <v>185</v>
      </c>
      <c r="S4" s="6" t="s">
        <v>186</v>
      </c>
      <c r="T4" s="6" t="s">
        <v>187</v>
      </c>
      <c r="U4" s="6" t="s">
        <v>188</v>
      </c>
      <c r="V4" s="6" t="s">
        <v>189</v>
      </c>
      <c r="W4" s="6" t="s">
        <v>190</v>
      </c>
      <c r="X4" s="6" t="s">
        <v>191</v>
      </c>
      <c r="Y4" s="6" t="s">
        <v>192</v>
      </c>
      <c r="Z4" s="6" t="s">
        <v>193</v>
      </c>
    </row>
    <row r="5" customFormat="false" ht="15" hidden="false" customHeight="false" outlineLevel="0" collapsed="false">
      <c r="A5" s="8" t="s">
        <v>250</v>
      </c>
      <c r="B5" s="23" t="n">
        <f aca="false">Assumptions!$B$51</f>
        <v>50</v>
      </c>
      <c r="C5" s="23" t="n">
        <f aca="false">Assumptions!$B$51+((Assumptions!$B$52-Assumptions!$B$51)*(2-1)/5)</f>
        <v>220</v>
      </c>
      <c r="D5" s="23" t="n">
        <f aca="false">Assumptions!$B$51+((Assumptions!$B$52-Assumptions!$B$51)*(3-1)/5)</f>
        <v>390</v>
      </c>
      <c r="E5" s="23" t="n">
        <f aca="false">Assumptions!$B$51+((Assumptions!$B$52-Assumptions!$B$51)*(4-1)/5)</f>
        <v>560</v>
      </c>
      <c r="F5" s="23" t="n">
        <f aca="false">Assumptions!$B$51+((Assumptions!$B$52-Assumptions!$B$51)*(5-1)/5)</f>
        <v>730</v>
      </c>
      <c r="G5" s="23" t="n">
        <f aca="false">Assumptions!$B$51+((Assumptions!$B$52-Assumptions!$B$51)*(6-1)/5)</f>
        <v>900</v>
      </c>
      <c r="H5" s="23" t="n">
        <f aca="false">Assumptions!$B$52+((Assumptions!$B$53-Assumptions!$B$52)*(7-6)/6)</f>
        <v>1250</v>
      </c>
      <c r="I5" s="23" t="n">
        <f aca="false">Assumptions!$B$52+((Assumptions!$B$53-Assumptions!$B$52)*(8-6)/6)</f>
        <v>1600</v>
      </c>
      <c r="J5" s="23" t="n">
        <f aca="false">Assumptions!$B$52+((Assumptions!$B$53-Assumptions!$B$52)*(9-6)/6)</f>
        <v>1950</v>
      </c>
      <c r="K5" s="23" t="n">
        <f aca="false">Assumptions!$B$52+((Assumptions!$B$53-Assumptions!$B$52)*(10-6)/6)</f>
        <v>2300</v>
      </c>
      <c r="L5" s="23" t="n">
        <f aca="false">Assumptions!$B$52+((Assumptions!$B$53-Assumptions!$B$52)*(11-6)/6)</f>
        <v>2650</v>
      </c>
      <c r="M5" s="23" t="n">
        <f aca="false">Assumptions!$B$52+((Assumptions!$B$53-Assumptions!$B$52)*(12-6)/6)</f>
        <v>3000</v>
      </c>
      <c r="N5" s="23" t="n">
        <f aca="false">Assumptions!$B$53+((Assumptions!$B$54-Assumptions!$B$53)*(13-12)/12)</f>
        <v>3416.66666666667</v>
      </c>
      <c r="O5" s="23" t="n">
        <f aca="false">Assumptions!$B$53+((Assumptions!$B$54-Assumptions!$B$53)*(14-12)/12)</f>
        <v>3833.33333333333</v>
      </c>
      <c r="P5" s="23" t="n">
        <f aca="false">Assumptions!$B$53+((Assumptions!$B$54-Assumptions!$B$53)*(15-12)/12)</f>
        <v>4250</v>
      </c>
      <c r="Q5" s="23" t="n">
        <f aca="false">Assumptions!$B$53+((Assumptions!$B$54-Assumptions!$B$53)*(16-12)/12)</f>
        <v>4666.66666666667</v>
      </c>
      <c r="R5" s="23" t="n">
        <f aca="false">Assumptions!$B$53+((Assumptions!$B$54-Assumptions!$B$53)*(17-12)/12)</f>
        <v>5083.33333333333</v>
      </c>
      <c r="S5" s="23" t="n">
        <f aca="false">Assumptions!$B$53+((Assumptions!$B$54-Assumptions!$B$53)*(18-12)/12)</f>
        <v>5500</v>
      </c>
      <c r="T5" s="23" t="n">
        <f aca="false">Assumptions!$B$53+((Assumptions!$B$54-Assumptions!$B$53)*(19-12)/12)</f>
        <v>5916.66666666667</v>
      </c>
      <c r="U5" s="23" t="n">
        <f aca="false">Assumptions!$B$53+((Assumptions!$B$54-Assumptions!$B$53)*(20-12)/12)</f>
        <v>6333.33333333333</v>
      </c>
      <c r="V5" s="23" t="n">
        <f aca="false">Assumptions!$B$53+((Assumptions!$B$54-Assumptions!$B$53)*(21-12)/12)</f>
        <v>6750</v>
      </c>
      <c r="W5" s="23" t="n">
        <f aca="false">Assumptions!$B$53+((Assumptions!$B$54-Assumptions!$B$53)*(22-12)/12)</f>
        <v>7166.66666666667</v>
      </c>
      <c r="X5" s="23" t="n">
        <f aca="false">Assumptions!$B$53+((Assumptions!$B$54-Assumptions!$B$53)*(23-12)/12)</f>
        <v>7583.33333333333</v>
      </c>
      <c r="Y5" s="23" t="n">
        <f aca="false">Assumptions!$B$53+((Assumptions!$B$54-Assumptions!$B$53)*(24-12)/12)</f>
        <v>8000</v>
      </c>
      <c r="Z5" s="26" t="n">
        <f aca="false">SUM(B5:Y5)</f>
        <v>84100</v>
      </c>
    </row>
    <row r="6" customFormat="false" ht="15" hidden="false" customHeight="false" outlineLevel="0" collapsed="false">
      <c r="A6" s="8" t="s">
        <v>251</v>
      </c>
      <c r="B6" s="25" t="n">
        <f aca="false">Assumptions!$B$57*Assumptions!$B$58</f>
        <v>0.072</v>
      </c>
      <c r="C6" s="25" t="n">
        <f aca="false">Assumptions!$B$57*Assumptions!$B$58</f>
        <v>0.072</v>
      </c>
      <c r="D6" s="25" t="n">
        <f aca="false">Assumptions!$B$57*Assumptions!$B$58</f>
        <v>0.072</v>
      </c>
      <c r="E6" s="25" t="n">
        <f aca="false">Assumptions!$B$57*Assumptions!$B$59</f>
        <v>0.126</v>
      </c>
      <c r="F6" s="25" t="n">
        <f aca="false">Assumptions!$B$57*Assumptions!$B$59</f>
        <v>0.126</v>
      </c>
      <c r="G6" s="25" t="n">
        <f aca="false">Assumptions!$B$57*Assumptions!$B$59</f>
        <v>0.126</v>
      </c>
      <c r="H6" s="25" t="n">
        <f aca="false">Assumptions!$B$57</f>
        <v>0.18</v>
      </c>
      <c r="I6" s="25" t="n">
        <f aca="false">Assumptions!$B$57</f>
        <v>0.18</v>
      </c>
      <c r="J6" s="25" t="n">
        <f aca="false">Assumptions!$B$57</f>
        <v>0.18</v>
      </c>
      <c r="K6" s="25" t="n">
        <f aca="false">Assumptions!$B$57</f>
        <v>0.18</v>
      </c>
      <c r="L6" s="25" t="n">
        <f aca="false">Assumptions!$B$57</f>
        <v>0.18</v>
      </c>
      <c r="M6" s="25" t="n">
        <f aca="false">Assumptions!$B$57</f>
        <v>0.18</v>
      </c>
      <c r="N6" s="25" t="n">
        <f aca="false">Assumptions!$B$57</f>
        <v>0.18</v>
      </c>
      <c r="O6" s="25" t="n">
        <f aca="false">Assumptions!$B$57</f>
        <v>0.18</v>
      </c>
      <c r="P6" s="25" t="n">
        <f aca="false">Assumptions!$B$57</f>
        <v>0.18</v>
      </c>
      <c r="Q6" s="25" t="n">
        <f aca="false">Assumptions!$B$57</f>
        <v>0.18</v>
      </c>
      <c r="R6" s="25" t="n">
        <f aca="false">Assumptions!$B$57</f>
        <v>0.18</v>
      </c>
      <c r="S6" s="25" t="n">
        <f aca="false">Assumptions!$B$57</f>
        <v>0.18</v>
      </c>
      <c r="T6" s="25" t="n">
        <f aca="false">Assumptions!$B$57</f>
        <v>0.18</v>
      </c>
      <c r="U6" s="25" t="n">
        <f aca="false">Assumptions!$B$57</f>
        <v>0.18</v>
      </c>
      <c r="V6" s="25" t="n">
        <f aca="false">Assumptions!$B$57</f>
        <v>0.18</v>
      </c>
      <c r="W6" s="25" t="n">
        <f aca="false">Assumptions!$B$57</f>
        <v>0.18</v>
      </c>
      <c r="X6" s="25" t="n">
        <f aca="false">Assumptions!$B$57</f>
        <v>0.18</v>
      </c>
      <c r="Y6" s="25" t="n">
        <f aca="false">Assumptions!$B$57</f>
        <v>0.18</v>
      </c>
    </row>
    <row r="7" customFormat="false" ht="15" hidden="false" customHeight="false" outlineLevel="0" collapsed="false">
      <c r="A7" s="8" t="s">
        <v>252</v>
      </c>
      <c r="B7" s="23" t="n">
        <f aca="false">B5*B6</f>
        <v>3.6</v>
      </c>
      <c r="C7" s="23" t="n">
        <f aca="false">C5*C6</f>
        <v>15.84</v>
      </c>
      <c r="D7" s="23" t="n">
        <f aca="false">D5*D6</f>
        <v>28.08</v>
      </c>
      <c r="E7" s="23" t="n">
        <f aca="false">E5*E6</f>
        <v>70.56</v>
      </c>
      <c r="F7" s="23" t="n">
        <f aca="false">F5*F6</f>
        <v>91.98</v>
      </c>
      <c r="G7" s="23" t="n">
        <f aca="false">G5*G6</f>
        <v>113.4</v>
      </c>
      <c r="H7" s="23" t="n">
        <f aca="false">H5*H6</f>
        <v>225</v>
      </c>
      <c r="I7" s="23" t="n">
        <f aca="false">I5*I6</f>
        <v>288</v>
      </c>
      <c r="J7" s="23" t="n">
        <f aca="false">J5*J6</f>
        <v>351</v>
      </c>
      <c r="K7" s="23" t="n">
        <f aca="false">K5*K6</f>
        <v>414</v>
      </c>
      <c r="L7" s="23" t="n">
        <f aca="false">L5*L6</f>
        <v>477</v>
      </c>
      <c r="M7" s="23" t="n">
        <f aca="false">M5*M6</f>
        <v>540</v>
      </c>
      <c r="N7" s="23" t="n">
        <f aca="false">N5*N6</f>
        <v>615</v>
      </c>
      <c r="O7" s="23" t="n">
        <f aca="false">O5*O6</f>
        <v>690</v>
      </c>
      <c r="P7" s="23" t="n">
        <f aca="false">P5*P6</f>
        <v>765</v>
      </c>
      <c r="Q7" s="23" t="n">
        <f aca="false">Q5*Q6</f>
        <v>840</v>
      </c>
      <c r="R7" s="23" t="n">
        <f aca="false">R5*R6</f>
        <v>915</v>
      </c>
      <c r="S7" s="23" t="n">
        <f aca="false">S5*S6</f>
        <v>990</v>
      </c>
      <c r="T7" s="23" t="n">
        <f aca="false">T5*T6</f>
        <v>1065</v>
      </c>
      <c r="U7" s="23" t="n">
        <f aca="false">U5*U6</f>
        <v>1140</v>
      </c>
      <c r="V7" s="23" t="n">
        <f aca="false">V5*V6</f>
        <v>1215</v>
      </c>
      <c r="W7" s="23" t="n">
        <f aca="false">W5*W6</f>
        <v>1290</v>
      </c>
      <c r="X7" s="23" t="n">
        <f aca="false">X5*X6</f>
        <v>1365</v>
      </c>
      <c r="Y7" s="23" t="n">
        <f aca="false">Y5*Y6</f>
        <v>1440</v>
      </c>
      <c r="Z7" s="26" t="n">
        <f aca="false">SUM(B7:Y7)</f>
        <v>14948.46</v>
      </c>
    </row>
    <row r="8" customFormat="false" ht="15" hidden="false" customHeight="false" outlineLevel="0" collapsed="false">
      <c r="A8" s="27" t="s">
        <v>253</v>
      </c>
      <c r="B8" s="23" t="n">
        <f aca="false">B7*Assumptions!$B$60</f>
        <v>2.52</v>
      </c>
      <c r="C8" s="23" t="n">
        <f aca="false">C7*Assumptions!$B$60</f>
        <v>11.088</v>
      </c>
      <c r="D8" s="23" t="n">
        <f aca="false">D7*Assumptions!$B$60</f>
        <v>19.656</v>
      </c>
      <c r="E8" s="23" t="n">
        <f aca="false">E7*Assumptions!$B$60</f>
        <v>49.392</v>
      </c>
      <c r="F8" s="23" t="n">
        <f aca="false">F7*Assumptions!$B$60</f>
        <v>64.386</v>
      </c>
      <c r="G8" s="23" t="n">
        <f aca="false">G7*Assumptions!$B$60</f>
        <v>79.38</v>
      </c>
      <c r="H8" s="23" t="n">
        <f aca="false">H7*Assumptions!$B$60</f>
        <v>157.5</v>
      </c>
      <c r="I8" s="23" t="n">
        <f aca="false">I7*Assumptions!$B$60</f>
        <v>201.6</v>
      </c>
      <c r="J8" s="23" t="n">
        <f aca="false">J7*Assumptions!$B$60</f>
        <v>245.7</v>
      </c>
      <c r="K8" s="23" t="n">
        <f aca="false">K7*Assumptions!$B$60</f>
        <v>289.8</v>
      </c>
      <c r="L8" s="23" t="n">
        <f aca="false">L7*Assumptions!$B$60</f>
        <v>333.9</v>
      </c>
      <c r="M8" s="23" t="n">
        <f aca="false">M7*Assumptions!$B$60</f>
        <v>378</v>
      </c>
      <c r="N8" s="23" t="n">
        <f aca="false">N7*Assumptions!$B$60</f>
        <v>430.5</v>
      </c>
      <c r="O8" s="23" t="n">
        <f aca="false">O7*Assumptions!$B$60</f>
        <v>483</v>
      </c>
      <c r="P8" s="23" t="n">
        <f aca="false">P7*Assumptions!$B$60</f>
        <v>535.5</v>
      </c>
      <c r="Q8" s="23" t="n">
        <f aca="false">Q7*Assumptions!$B$60</f>
        <v>588</v>
      </c>
      <c r="R8" s="23" t="n">
        <f aca="false">R7*Assumptions!$B$60</f>
        <v>640.5</v>
      </c>
      <c r="S8" s="23" t="n">
        <f aca="false">S7*Assumptions!$B$60</f>
        <v>693</v>
      </c>
      <c r="T8" s="23" t="n">
        <f aca="false">T7*Assumptions!$B$60</f>
        <v>745.5</v>
      </c>
      <c r="U8" s="23" t="n">
        <f aca="false">U7*Assumptions!$B$60</f>
        <v>798</v>
      </c>
      <c r="V8" s="23" t="n">
        <f aca="false">V7*Assumptions!$B$60</f>
        <v>850.5</v>
      </c>
      <c r="W8" s="23" t="n">
        <f aca="false">W7*Assumptions!$B$60</f>
        <v>903</v>
      </c>
      <c r="X8" s="23" t="n">
        <f aca="false">X7*Assumptions!$B$60</f>
        <v>955.5</v>
      </c>
      <c r="Y8" s="23" t="n">
        <f aca="false">Y7*Assumptions!$B$60</f>
        <v>1008</v>
      </c>
      <c r="Z8" s="26" t="n">
        <f aca="false">SUM(B8:Y8)</f>
        <v>10463.922</v>
      </c>
    </row>
    <row r="9" customFormat="false" ht="15" hidden="false" customHeight="false" outlineLevel="0" collapsed="false">
      <c r="A9" s="27" t="s">
        <v>254</v>
      </c>
      <c r="B9" s="23" t="n">
        <f aca="false">B7*Assumptions!$B$61</f>
        <v>0.9</v>
      </c>
      <c r="C9" s="23" t="n">
        <f aca="false">C7*Assumptions!$B$61</f>
        <v>3.96</v>
      </c>
      <c r="D9" s="23" t="n">
        <f aca="false">D7*Assumptions!$B$61</f>
        <v>7.02</v>
      </c>
      <c r="E9" s="23" t="n">
        <f aca="false">E7*Assumptions!$B$61</f>
        <v>17.64</v>
      </c>
      <c r="F9" s="23" t="n">
        <f aca="false">F7*Assumptions!$B$61</f>
        <v>22.995</v>
      </c>
      <c r="G9" s="23" t="n">
        <f aca="false">G7*Assumptions!$B$61</f>
        <v>28.35</v>
      </c>
      <c r="H9" s="23" t="n">
        <f aca="false">H7*Assumptions!$B$61</f>
        <v>56.25</v>
      </c>
      <c r="I9" s="23" t="n">
        <f aca="false">I7*Assumptions!$B$61</f>
        <v>72</v>
      </c>
      <c r="J9" s="23" t="n">
        <f aca="false">J7*Assumptions!$B$61</f>
        <v>87.75</v>
      </c>
      <c r="K9" s="23" t="n">
        <f aca="false">K7*Assumptions!$B$61</f>
        <v>103.5</v>
      </c>
      <c r="L9" s="23" t="n">
        <f aca="false">L7*Assumptions!$B$61</f>
        <v>119.25</v>
      </c>
      <c r="M9" s="23" t="n">
        <f aca="false">M7*Assumptions!$B$61</f>
        <v>135</v>
      </c>
      <c r="N9" s="23" t="n">
        <f aca="false">N7*Assumptions!$B$61</f>
        <v>153.75</v>
      </c>
      <c r="O9" s="23" t="n">
        <f aca="false">O7*Assumptions!$B$61</f>
        <v>172.5</v>
      </c>
      <c r="P9" s="23" t="n">
        <f aca="false">P7*Assumptions!$B$61</f>
        <v>191.25</v>
      </c>
      <c r="Q9" s="23" t="n">
        <f aca="false">Q7*Assumptions!$B$61</f>
        <v>210</v>
      </c>
      <c r="R9" s="23" t="n">
        <f aca="false">R7*Assumptions!$B$61</f>
        <v>228.75</v>
      </c>
      <c r="S9" s="23" t="n">
        <f aca="false">S7*Assumptions!$B$61</f>
        <v>247.5</v>
      </c>
      <c r="T9" s="23" t="n">
        <f aca="false">T7*Assumptions!$B$61</f>
        <v>266.25</v>
      </c>
      <c r="U9" s="23" t="n">
        <f aca="false">U7*Assumptions!$B$61</f>
        <v>285</v>
      </c>
      <c r="V9" s="23" t="n">
        <f aca="false">V7*Assumptions!$B$61</f>
        <v>303.75</v>
      </c>
      <c r="W9" s="23" t="n">
        <f aca="false">W7*Assumptions!$B$61</f>
        <v>322.5</v>
      </c>
      <c r="X9" s="23" t="n">
        <f aca="false">X7*Assumptions!$B$61</f>
        <v>341.25</v>
      </c>
      <c r="Y9" s="23" t="n">
        <f aca="false">Y7*Assumptions!$B$61</f>
        <v>360</v>
      </c>
      <c r="Z9" s="26" t="n">
        <f aca="false">SUM(B9:Y9)</f>
        <v>3737.115</v>
      </c>
    </row>
    <row r="10" customFormat="false" ht="15" hidden="false" customHeight="false" outlineLevel="0" collapsed="false">
      <c r="A10" s="27" t="s">
        <v>255</v>
      </c>
      <c r="B10" s="23" t="n">
        <f aca="false">B7*Assumptions!$B$62</f>
        <v>0.18</v>
      </c>
      <c r="C10" s="23" t="n">
        <f aca="false">C7*Assumptions!$B$62</f>
        <v>0.792</v>
      </c>
      <c r="D10" s="23" t="n">
        <f aca="false">D7*Assumptions!$B$62</f>
        <v>1.404</v>
      </c>
      <c r="E10" s="23" t="n">
        <f aca="false">E7*Assumptions!$B$62</f>
        <v>3.528</v>
      </c>
      <c r="F10" s="23" t="n">
        <f aca="false">F7*Assumptions!$B$62</f>
        <v>4.599</v>
      </c>
      <c r="G10" s="23" t="n">
        <f aca="false">G7*Assumptions!$B$62</f>
        <v>5.67</v>
      </c>
      <c r="H10" s="23" t="n">
        <f aca="false">H7*Assumptions!$B$62</f>
        <v>11.25</v>
      </c>
      <c r="I10" s="23" t="n">
        <f aca="false">I7*Assumptions!$B$62</f>
        <v>14.4</v>
      </c>
      <c r="J10" s="23" t="n">
        <f aca="false">J7*Assumptions!$B$62</f>
        <v>17.55</v>
      </c>
      <c r="K10" s="23" t="n">
        <f aca="false">K7*Assumptions!$B$62</f>
        <v>20.7</v>
      </c>
      <c r="L10" s="23" t="n">
        <f aca="false">L7*Assumptions!$B$62</f>
        <v>23.85</v>
      </c>
      <c r="M10" s="23" t="n">
        <f aca="false">M7*Assumptions!$B$62</f>
        <v>27</v>
      </c>
      <c r="N10" s="23" t="n">
        <f aca="false">N7*Assumptions!$B$62</f>
        <v>30.75</v>
      </c>
      <c r="O10" s="23" t="n">
        <f aca="false">O7*Assumptions!$B$62</f>
        <v>34.5</v>
      </c>
      <c r="P10" s="23" t="n">
        <f aca="false">P7*Assumptions!$B$62</f>
        <v>38.25</v>
      </c>
      <c r="Q10" s="23" t="n">
        <f aca="false">Q7*Assumptions!$B$62</f>
        <v>42</v>
      </c>
      <c r="R10" s="23" t="n">
        <f aca="false">R7*Assumptions!$B$62</f>
        <v>45.75</v>
      </c>
      <c r="S10" s="23" t="n">
        <f aca="false">S7*Assumptions!$B$62</f>
        <v>49.5</v>
      </c>
      <c r="T10" s="23" t="n">
        <f aca="false">T7*Assumptions!$B$62</f>
        <v>53.25</v>
      </c>
      <c r="U10" s="23" t="n">
        <f aca="false">U7*Assumptions!$B$62</f>
        <v>57</v>
      </c>
      <c r="V10" s="23" t="n">
        <f aca="false">V7*Assumptions!$B$62</f>
        <v>60.75</v>
      </c>
      <c r="W10" s="23" t="n">
        <f aca="false">W7*Assumptions!$B$62</f>
        <v>64.5</v>
      </c>
      <c r="X10" s="23" t="n">
        <f aca="false">X7*Assumptions!$B$62</f>
        <v>68.25</v>
      </c>
      <c r="Y10" s="23" t="n">
        <f aca="false">Y7*Assumptions!$B$62</f>
        <v>72</v>
      </c>
      <c r="Z10" s="26" t="n">
        <f aca="false">SUM(B10:Y10)</f>
        <v>747.423</v>
      </c>
    </row>
    <row r="11" customFormat="false" ht="15" hidden="false" customHeight="true" outlineLevel="0" collapsed="false">
      <c r="A11" s="7" t="s">
        <v>256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15" hidden="false" customHeight="false" outlineLevel="0" collapsed="false">
      <c r="A12" s="8" t="s">
        <v>257</v>
      </c>
      <c r="B12" s="23" t="n">
        <f aca="false">B8</f>
        <v>2.52</v>
      </c>
      <c r="C12" s="23" t="n">
        <f aca="false">B12*(1-Assumptions!$B$63)+C8</f>
        <v>13.482</v>
      </c>
      <c r="D12" s="23" t="n">
        <f aca="false">C12*(1-Assumptions!$B$63)+D8</f>
        <v>32.4639</v>
      </c>
      <c r="E12" s="23" t="n">
        <f aca="false">D12*(1-Assumptions!$B$63)+E8</f>
        <v>80.232705</v>
      </c>
      <c r="F12" s="23" t="n">
        <f aca="false">E12*(1-Assumptions!$B$63)+F8</f>
        <v>140.60706975</v>
      </c>
      <c r="G12" s="23" t="n">
        <f aca="false">F12*(1-Assumptions!$B$63)+G8</f>
        <v>212.9567162625</v>
      </c>
      <c r="H12" s="23" t="n">
        <f aca="false">G12*(1-Assumptions!$B$63)+H8</f>
        <v>359.808880449375</v>
      </c>
      <c r="I12" s="23" t="n">
        <f aca="false">H12*(1-Assumptions!$B$63)+I8</f>
        <v>543.418436426906</v>
      </c>
      <c r="J12" s="23" t="n">
        <f aca="false">I12*(1-Assumptions!$B$63)+J8</f>
        <v>761.947514605561</v>
      </c>
      <c r="K12" s="23" t="n">
        <f aca="false">J12*(1-Assumptions!$B$63)+K8</f>
        <v>1013.65013887528</v>
      </c>
      <c r="L12" s="23" t="n">
        <f aca="false">K12*(1-Assumptions!$B$63)+L8</f>
        <v>1296.86763193152</v>
      </c>
      <c r="M12" s="23" t="n">
        <f aca="false">L12*(1-Assumptions!$B$63)+M8</f>
        <v>1610.02425033494</v>
      </c>
      <c r="N12" s="23" t="n">
        <f aca="false">M12*(1-Assumptions!$B$63)+N8</f>
        <v>1960.0230378182</v>
      </c>
      <c r="O12" s="23" t="n">
        <f aca="false">N12*(1-Assumptions!$B$63)+O8</f>
        <v>2345.02188592729</v>
      </c>
      <c r="P12" s="23" t="n">
        <f aca="false">O12*(1-Assumptions!$B$63)+P8</f>
        <v>2763.27079163092</v>
      </c>
      <c r="Q12" s="23" t="n">
        <f aca="false">P12*(1-Assumptions!$B$63)+Q8</f>
        <v>3213.10725204938</v>
      </c>
      <c r="R12" s="23" t="n">
        <f aca="false">Q12*(1-Assumptions!$B$63)+R8</f>
        <v>3692.95188944691</v>
      </c>
      <c r="S12" s="23" t="n">
        <f aca="false">R12*(1-Assumptions!$B$63)+S8</f>
        <v>4201.30429497456</v>
      </c>
      <c r="T12" s="23" t="n">
        <f aca="false">S12*(1-Assumptions!$B$63)+T8</f>
        <v>4736.73908022583</v>
      </c>
      <c r="U12" s="23" t="n">
        <f aca="false">T12*(1-Assumptions!$B$63)+U8</f>
        <v>5297.90212621454</v>
      </c>
      <c r="V12" s="23" t="n">
        <f aca="false">U12*(1-Assumptions!$B$63)+V8</f>
        <v>5883.50701990381</v>
      </c>
      <c r="W12" s="23" t="n">
        <f aca="false">V12*(1-Assumptions!$B$63)+W8</f>
        <v>6492.33166890862</v>
      </c>
      <c r="X12" s="23" t="n">
        <f aca="false">W12*(1-Assumptions!$B$63)+X8</f>
        <v>7123.21508546319</v>
      </c>
      <c r="Y12" s="23" t="n">
        <f aca="false">X12*(1-Assumptions!$B$63)+Y8</f>
        <v>7775.05433119003</v>
      </c>
    </row>
    <row r="13" customFormat="false" ht="15" hidden="false" customHeight="false" outlineLevel="0" collapsed="false">
      <c r="A13" s="8" t="s">
        <v>258</v>
      </c>
      <c r="B13" s="23" t="n">
        <f aca="false">B9</f>
        <v>0.9</v>
      </c>
      <c r="C13" s="23" t="n">
        <f aca="false">B13*(1-Assumptions!$B$64)+C9</f>
        <v>4.833</v>
      </c>
      <c r="D13" s="23" t="n">
        <f aca="false">C13*(1-Assumptions!$B$64)+D9</f>
        <v>11.70801</v>
      </c>
      <c r="E13" s="23" t="n">
        <f aca="false">D13*(1-Assumptions!$B$64)+E9</f>
        <v>28.9967697</v>
      </c>
      <c r="F13" s="23" t="n">
        <f aca="false">E13*(1-Assumptions!$B$64)+F9</f>
        <v>51.121866609</v>
      </c>
      <c r="G13" s="23" t="n">
        <f aca="false">F13*(1-Assumptions!$B$64)+G9</f>
        <v>77.93821061073</v>
      </c>
      <c r="H13" s="23" t="n">
        <f aca="false">G13*(1-Assumptions!$B$64)+H9</f>
        <v>131.850064292408</v>
      </c>
      <c r="I13" s="23" t="n">
        <f aca="false">H13*(1-Assumptions!$B$64)+I9</f>
        <v>199.894562363636</v>
      </c>
      <c r="J13" s="23" t="n">
        <f aca="false">I13*(1-Assumptions!$B$64)+J9</f>
        <v>281.647725492727</v>
      </c>
      <c r="K13" s="23" t="n">
        <f aca="false">J13*(1-Assumptions!$B$64)+K9</f>
        <v>376.698293727945</v>
      </c>
      <c r="L13" s="23" t="n">
        <f aca="false">K13*(1-Assumptions!$B$64)+L9</f>
        <v>484.647344916107</v>
      </c>
      <c r="M13" s="23" t="n">
        <f aca="false">L13*(1-Assumptions!$B$64)+M9</f>
        <v>605.107924568623</v>
      </c>
      <c r="N13" s="23" t="n">
        <f aca="false">M13*(1-Assumptions!$B$64)+N9</f>
        <v>740.704686831565</v>
      </c>
      <c r="O13" s="23" t="n">
        <f aca="false">N13*(1-Assumptions!$B$64)+O9</f>
        <v>890.983546226618</v>
      </c>
      <c r="P13" s="23" t="n">
        <f aca="false">O13*(1-Assumptions!$B$64)+P9</f>
        <v>1055.50403983982</v>
      </c>
      <c r="Q13" s="23" t="n">
        <f aca="false">P13*(1-Assumptions!$B$64)+Q9</f>
        <v>1233.83891864462</v>
      </c>
      <c r="R13" s="23" t="n">
        <f aca="false">Q13*(1-Assumptions!$B$64)+R9</f>
        <v>1425.57375108529</v>
      </c>
      <c r="S13" s="23" t="n">
        <f aca="false">R13*(1-Assumptions!$B$64)+S9</f>
        <v>1630.30653855273</v>
      </c>
      <c r="T13" s="23" t="n">
        <f aca="false">S13*(1-Assumptions!$B$64)+T9</f>
        <v>1847.64734239615</v>
      </c>
      <c r="U13" s="23" t="n">
        <f aca="false">T13*(1-Assumptions!$B$64)+U9</f>
        <v>2077.21792212426</v>
      </c>
      <c r="V13" s="23" t="n">
        <f aca="false">U13*(1-Assumptions!$B$64)+V9</f>
        <v>2318.65138446053</v>
      </c>
      <c r="W13" s="23" t="n">
        <f aca="false">V13*(1-Assumptions!$B$64)+W9</f>
        <v>2571.59184292672</v>
      </c>
      <c r="X13" s="23" t="n">
        <f aca="false">W13*(1-Assumptions!$B$64)+X9</f>
        <v>2835.69408763892</v>
      </c>
      <c r="Y13" s="23" t="n">
        <f aca="false">X13*(1-Assumptions!$B$64)+Y9</f>
        <v>3110.62326500975</v>
      </c>
    </row>
    <row r="14" customFormat="false" ht="15" hidden="false" customHeight="false" outlineLevel="0" collapsed="false">
      <c r="A14" s="8" t="s">
        <v>259</v>
      </c>
      <c r="B14" s="23" t="n">
        <f aca="false">B10</f>
        <v>0.18</v>
      </c>
      <c r="C14" s="23" t="n">
        <f aca="false">B14*(1-Assumptions!$B$65)+C10</f>
        <v>0.9693</v>
      </c>
      <c r="D14" s="23" t="n">
        <f aca="false">C14*(1-Assumptions!$B$65)+D10</f>
        <v>2.3587605</v>
      </c>
      <c r="E14" s="23" t="n">
        <f aca="false">D14*(1-Assumptions!$B$65)+E10</f>
        <v>5.8513790925</v>
      </c>
      <c r="F14" s="23" t="n">
        <f aca="false">E14*(1-Assumptions!$B$65)+F10</f>
        <v>10.3626084061125</v>
      </c>
      <c r="G14" s="23" t="n">
        <f aca="false">F14*(1-Assumptions!$B$65)+G10</f>
        <v>15.8771692800208</v>
      </c>
      <c r="H14" s="23" t="n">
        <f aca="false">G14*(1-Assumptions!$B$65)+H10</f>
        <v>26.8890117408205</v>
      </c>
      <c r="I14" s="23" t="n">
        <f aca="false">H14*(1-Assumptions!$B$65)+I10</f>
        <v>40.8856765647082</v>
      </c>
      <c r="J14" s="23" t="n">
        <f aca="false">I14*(1-Assumptions!$B$65)+J10</f>
        <v>57.8223914162376</v>
      </c>
      <c r="K14" s="23" t="n">
        <f aca="false">J14*(1-Assumptions!$B$65)+K10</f>
        <v>77.655055544994</v>
      </c>
      <c r="L14" s="23" t="n">
        <f aca="false">K14*(1-Assumptions!$B$65)+L10</f>
        <v>100.340229711819</v>
      </c>
      <c r="M14" s="23" t="n">
        <f aca="false">L14*(1-Assumptions!$B$65)+M10</f>
        <v>125.835126266142</v>
      </c>
      <c r="N14" s="23" t="n">
        <f aca="false">M14*(1-Assumptions!$B$65)+N10</f>
        <v>154.69759937215</v>
      </c>
      <c r="O14" s="23" t="n">
        <f aca="false">N14*(1-Assumptions!$B$65)+O10</f>
        <v>186.877135381567</v>
      </c>
      <c r="P14" s="23" t="n">
        <f aca="false">O14*(1-Assumptions!$B$65)+P10</f>
        <v>222.323978350844</v>
      </c>
      <c r="Q14" s="23" t="n">
        <f aca="false">P14*(1-Assumptions!$B$65)+Q10</f>
        <v>260.989118675581</v>
      </c>
      <c r="R14" s="23" t="n">
        <f aca="false">Q14*(1-Assumptions!$B$65)+R10</f>
        <v>302.824281895448</v>
      </c>
      <c r="S14" s="23" t="n">
        <f aca="false">R14*(1-Assumptions!$B$65)+S10</f>
        <v>347.781917667016</v>
      </c>
      <c r="T14" s="23" t="n">
        <f aca="false">S14*(1-Assumptions!$B$65)+T10</f>
        <v>395.815188902011</v>
      </c>
      <c r="U14" s="23" t="n">
        <f aca="false">T14*(1-Assumptions!$B$65)+U10</f>
        <v>446.87796106848</v>
      </c>
      <c r="V14" s="23" t="n">
        <f aca="false">U14*(1-Assumptions!$B$65)+V10</f>
        <v>500.924791652453</v>
      </c>
      <c r="W14" s="23" t="n">
        <f aca="false">V14*(1-Assumptions!$B$65)+W10</f>
        <v>557.910919777666</v>
      </c>
      <c r="X14" s="23" t="n">
        <f aca="false">W14*(1-Assumptions!$B$65)+X10</f>
        <v>617.792255981001</v>
      </c>
      <c r="Y14" s="23" t="n">
        <f aca="false">X14*(1-Assumptions!$B$65)+Y10</f>
        <v>680.525372141286</v>
      </c>
    </row>
    <row r="15" customFormat="false" ht="15" hidden="false" customHeight="false" outlineLevel="0" collapsed="false">
      <c r="A15" s="21" t="s">
        <v>260</v>
      </c>
      <c r="B15" s="28" t="n">
        <f aca="false">B12+B13+B14</f>
        <v>3.6</v>
      </c>
      <c r="C15" s="28" t="n">
        <f aca="false">C12+C13+C14</f>
        <v>19.2843</v>
      </c>
      <c r="D15" s="28" t="n">
        <f aca="false">D12+D13+D14</f>
        <v>46.5306705</v>
      </c>
      <c r="E15" s="28" t="n">
        <f aca="false">E12+E13+E14</f>
        <v>115.0808537925</v>
      </c>
      <c r="F15" s="28" t="n">
        <f aca="false">F12+F13+F14</f>
        <v>202.091544765112</v>
      </c>
      <c r="G15" s="28" t="n">
        <f aca="false">G12+G13+G14</f>
        <v>306.772096153251</v>
      </c>
      <c r="H15" s="28" t="n">
        <f aca="false">H12+H13+H14</f>
        <v>518.547956482604</v>
      </c>
      <c r="I15" s="28" t="n">
        <f aca="false">I12+I13+I14</f>
        <v>784.19867535525</v>
      </c>
      <c r="J15" s="28" t="n">
        <f aca="false">J12+J13+J14</f>
        <v>1101.41763151453</v>
      </c>
      <c r="K15" s="28" t="n">
        <f aca="false">K12+K13+K14</f>
        <v>1468.00348814822</v>
      </c>
      <c r="L15" s="28" t="n">
        <f aca="false">L12+L13+L14</f>
        <v>1881.85520655944</v>
      </c>
      <c r="M15" s="28" t="n">
        <f aca="false">M12+M13+M14</f>
        <v>2340.96730116971</v>
      </c>
      <c r="N15" s="28" t="n">
        <f aca="false">N12+N13+N14</f>
        <v>2855.42532402191</v>
      </c>
      <c r="O15" s="28" t="n">
        <f aca="false">O12+O13+O14</f>
        <v>3422.88256753547</v>
      </c>
      <c r="P15" s="28" t="n">
        <f aca="false">P12+P13+P14</f>
        <v>4041.09880982158</v>
      </c>
      <c r="Q15" s="28" t="n">
        <f aca="false">Q12+Q13+Q14</f>
        <v>4707.93528936958</v>
      </c>
      <c r="R15" s="28" t="n">
        <f aca="false">R12+R13+R14</f>
        <v>5421.34992242764</v>
      </c>
      <c r="S15" s="28" t="n">
        <f aca="false">S12+S13+S14</f>
        <v>6179.3927511943</v>
      </c>
      <c r="T15" s="28" t="n">
        <f aca="false">T12+T13+T14</f>
        <v>6980.20161152399</v>
      </c>
      <c r="U15" s="28" t="n">
        <f aca="false">U12+U13+U14</f>
        <v>7821.99800940728</v>
      </c>
      <c r="V15" s="28" t="n">
        <f aca="false">V12+V13+V14</f>
        <v>8703.0831960168</v>
      </c>
      <c r="W15" s="28" t="n">
        <f aca="false">W12+W13+W14</f>
        <v>9621.83443161301</v>
      </c>
      <c r="X15" s="28" t="n">
        <f aca="false">X12+X13+X14</f>
        <v>10576.7014290831</v>
      </c>
      <c r="Y15" s="28" t="n">
        <f aca="false">Y12+Y13+Y14</f>
        <v>11566.2029683411</v>
      </c>
    </row>
    <row r="16" customFormat="false" ht="15" hidden="false" customHeight="true" outlineLevel="0" collapsed="false">
      <c r="A16" s="7" t="s">
        <v>261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Format="false" ht="15" hidden="false" customHeight="false" outlineLevel="0" collapsed="false">
      <c r="A17" s="27" t="s">
        <v>262</v>
      </c>
      <c r="B17" s="29" t="n">
        <f aca="false">B12*Assumptions!$B$69*1000/1000000</f>
        <v>0.0756</v>
      </c>
      <c r="C17" s="29" t="n">
        <f aca="false">C12*Assumptions!$B$69*1000/1000000</f>
        <v>0.40446</v>
      </c>
      <c r="D17" s="29" t="n">
        <f aca="false">D12*Assumptions!$B$69*1000/1000000</f>
        <v>0.973917</v>
      </c>
      <c r="E17" s="29" t="n">
        <f aca="false">E12*Assumptions!$B$69*1000/1000000</f>
        <v>2.40698115</v>
      </c>
      <c r="F17" s="29" t="n">
        <f aca="false">F12*Assumptions!$B$69*1000/1000000</f>
        <v>4.2182120925</v>
      </c>
      <c r="G17" s="29" t="n">
        <f aca="false">G12*Assumptions!$B$69*1000/1000000</f>
        <v>6.388701487875</v>
      </c>
      <c r="H17" s="29" t="n">
        <f aca="false">H12*Assumptions!$B$69*1000/1000000</f>
        <v>10.7942664134813</v>
      </c>
      <c r="I17" s="29" t="n">
        <f aca="false">I12*Assumptions!$B$69*1000/1000000</f>
        <v>16.3025530928072</v>
      </c>
      <c r="J17" s="29" t="n">
        <f aca="false">J12*Assumptions!$B$69*1000/1000000</f>
        <v>22.8584254381668</v>
      </c>
      <c r="K17" s="29" t="n">
        <f aca="false">K12*Assumptions!$B$69*1000/1000000</f>
        <v>30.4095041662585</v>
      </c>
      <c r="L17" s="29" t="n">
        <f aca="false">L12*Assumptions!$B$69*1000/1000000</f>
        <v>38.9060289579456</v>
      </c>
      <c r="M17" s="29" t="n">
        <f aca="false">M12*Assumptions!$B$69*1000/1000000</f>
        <v>48.3007275100483</v>
      </c>
      <c r="N17" s="29" t="n">
        <f aca="false">N12*Assumptions!$B$69*1000/1000000</f>
        <v>58.8006911345459</v>
      </c>
      <c r="O17" s="29" t="n">
        <f aca="false">O12*Assumptions!$B$69*1000/1000000</f>
        <v>70.3506565778186</v>
      </c>
      <c r="P17" s="29" t="n">
        <f aca="false">P12*Assumptions!$B$69*1000/1000000</f>
        <v>82.8981237489276</v>
      </c>
      <c r="Q17" s="29" t="n">
        <f aca="false">Q12*Assumptions!$B$69*1000/1000000</f>
        <v>96.3932175614812</v>
      </c>
      <c r="R17" s="29" t="n">
        <f aca="false">R12*Assumptions!$B$69*1000/1000000</f>
        <v>110.788556683407</v>
      </c>
      <c r="S17" s="29" t="n">
        <f aca="false">S12*Assumptions!$B$69*1000/1000000</f>
        <v>126.039128849237</v>
      </c>
      <c r="T17" s="29" t="n">
        <f aca="false">T12*Assumptions!$B$69*1000/1000000</f>
        <v>142.102172406775</v>
      </c>
      <c r="U17" s="29" t="n">
        <f aca="false">U12*Assumptions!$B$69*1000/1000000</f>
        <v>158.937063786436</v>
      </c>
      <c r="V17" s="29" t="n">
        <f aca="false">V12*Assumptions!$B$69*1000/1000000</f>
        <v>176.505210597114</v>
      </c>
      <c r="W17" s="29" t="n">
        <f aca="false">W12*Assumptions!$B$69*1000/1000000</f>
        <v>194.769950067259</v>
      </c>
      <c r="X17" s="29" t="n">
        <f aca="false">X12*Assumptions!$B$69*1000/1000000</f>
        <v>213.696452563896</v>
      </c>
      <c r="Y17" s="29" t="n">
        <f aca="false">Y12*Assumptions!$B$69*1000/1000000</f>
        <v>233.251629935701</v>
      </c>
    </row>
    <row r="18" customFormat="false" ht="15" hidden="false" customHeight="false" outlineLevel="0" collapsed="false">
      <c r="A18" s="27" t="s">
        <v>263</v>
      </c>
      <c r="B18" s="29" t="n">
        <f aca="false">B13*Assumptions!$B$70*1000/1000000</f>
        <v>0.315</v>
      </c>
      <c r="C18" s="29" t="n">
        <f aca="false">C13*Assumptions!$B$70*1000/1000000</f>
        <v>1.69155</v>
      </c>
      <c r="D18" s="29" t="n">
        <f aca="false">D13*Assumptions!$B$70*1000/1000000</f>
        <v>4.0978035</v>
      </c>
      <c r="E18" s="29" t="n">
        <f aca="false">E13*Assumptions!$B$70*1000/1000000</f>
        <v>10.148869395</v>
      </c>
      <c r="F18" s="29" t="n">
        <f aca="false">F13*Assumptions!$B$70*1000/1000000</f>
        <v>17.89265331315</v>
      </c>
      <c r="G18" s="29" t="n">
        <f aca="false">G13*Assumptions!$B$70*1000/1000000</f>
        <v>27.2783737137555</v>
      </c>
      <c r="H18" s="29" t="n">
        <f aca="false">H13*Assumptions!$B$70*1000/1000000</f>
        <v>46.1475225023428</v>
      </c>
      <c r="I18" s="29" t="n">
        <f aca="false">I13*Assumptions!$B$70*1000/1000000</f>
        <v>69.9630968272726</v>
      </c>
      <c r="J18" s="29" t="n">
        <f aca="false">J13*Assumptions!$B$70*1000/1000000</f>
        <v>98.5767039224544</v>
      </c>
      <c r="K18" s="29" t="n">
        <f aca="false">K13*Assumptions!$B$70*1000/1000000</f>
        <v>131.844402804781</v>
      </c>
      <c r="L18" s="29" t="n">
        <f aca="false">L13*Assumptions!$B$70*1000/1000000</f>
        <v>169.626570720637</v>
      </c>
      <c r="M18" s="29" t="n">
        <f aca="false">M13*Assumptions!$B$70*1000/1000000</f>
        <v>211.787773599018</v>
      </c>
      <c r="N18" s="29" t="n">
        <f aca="false">N13*Assumptions!$B$70*1000/1000000</f>
        <v>259.246640391048</v>
      </c>
      <c r="O18" s="29" t="n">
        <f aca="false">O13*Assumptions!$B$70*1000/1000000</f>
        <v>311.844241179316</v>
      </c>
      <c r="P18" s="29" t="n">
        <f aca="false">P13*Assumptions!$B$70*1000/1000000</f>
        <v>369.426413943937</v>
      </c>
      <c r="Q18" s="29" t="n">
        <f aca="false">Q13*Assumptions!$B$70*1000/1000000</f>
        <v>431.843621525619</v>
      </c>
      <c r="R18" s="29" t="n">
        <f aca="false">R13*Assumptions!$B$70*1000/1000000</f>
        <v>498.95081287985</v>
      </c>
      <c r="S18" s="29" t="n">
        <f aca="false">S13*Assumptions!$B$70*1000/1000000</f>
        <v>570.607288493455</v>
      </c>
      <c r="T18" s="29" t="n">
        <f aca="false">T13*Assumptions!$B$70*1000/1000000</f>
        <v>646.676569838651</v>
      </c>
      <c r="U18" s="29" t="n">
        <f aca="false">U13*Assumptions!$B$70*1000/1000000</f>
        <v>727.026272743491</v>
      </c>
      <c r="V18" s="29" t="n">
        <f aca="false">V13*Assumptions!$B$70*1000/1000000</f>
        <v>811.527984561187</v>
      </c>
      <c r="W18" s="29" t="n">
        <f aca="false">W13*Assumptions!$B$70*1000/1000000</f>
        <v>900.057145024351</v>
      </c>
      <c r="X18" s="29" t="n">
        <f aca="false">X13*Assumptions!$B$70*1000/1000000</f>
        <v>992.49293067362</v>
      </c>
      <c r="Y18" s="29" t="n">
        <f aca="false">Y13*Assumptions!$B$70*1000/1000000</f>
        <v>1088.71814275341</v>
      </c>
    </row>
    <row r="19" customFormat="false" ht="15" hidden="false" customHeight="false" outlineLevel="0" collapsed="false">
      <c r="A19" s="27" t="s">
        <v>264</v>
      </c>
      <c r="B19" s="29" t="n">
        <f aca="false">B14*Assumptions!$B$71*1000/1000000</f>
        <v>0.81</v>
      </c>
      <c r="C19" s="29" t="n">
        <f aca="false">C14*Assumptions!$B$71*1000/1000000</f>
        <v>4.36185</v>
      </c>
      <c r="D19" s="29" t="n">
        <f aca="false">D14*Assumptions!$B$71*1000/1000000</f>
        <v>10.61442225</v>
      </c>
      <c r="E19" s="29" t="n">
        <f aca="false">E14*Assumptions!$B$71*1000/1000000</f>
        <v>26.33120591625</v>
      </c>
      <c r="F19" s="29" t="n">
        <f aca="false">F14*Assumptions!$B$71*1000/1000000</f>
        <v>46.6317378275063</v>
      </c>
      <c r="G19" s="29" t="n">
        <f aca="false">G14*Assumptions!$B$71*1000/1000000</f>
        <v>71.4472617600936</v>
      </c>
      <c r="H19" s="29" t="n">
        <f aca="false">H14*Assumptions!$B$71*1000/1000000</f>
        <v>121.000552833692</v>
      </c>
      <c r="I19" s="29" t="n">
        <f aca="false">I14*Assumptions!$B$71*1000/1000000</f>
        <v>183.985544541187</v>
      </c>
      <c r="J19" s="29" t="n">
        <f aca="false">J14*Assumptions!$B$71*1000/1000000</f>
        <v>260.200761373069</v>
      </c>
      <c r="K19" s="29" t="n">
        <f aca="false">K14*Assumptions!$B$71*1000/1000000</f>
        <v>349.447749952473</v>
      </c>
      <c r="L19" s="29" t="n">
        <f aca="false">L14*Assumptions!$B$71*1000/1000000</f>
        <v>451.531033703186</v>
      </c>
      <c r="M19" s="29" t="n">
        <f aca="false">M14*Assumptions!$B$71*1000/1000000</f>
        <v>566.258068197638</v>
      </c>
      <c r="N19" s="29" t="n">
        <f aca="false">N14*Assumptions!$B$71*1000/1000000</f>
        <v>696.139197174674</v>
      </c>
      <c r="O19" s="29" t="n">
        <f aca="false">O14*Assumptions!$B$71*1000/1000000</f>
        <v>840.947109217053</v>
      </c>
      <c r="P19" s="29" t="n">
        <f aca="false">P14*Assumptions!$B$71*1000/1000000</f>
        <v>1000.4579025788</v>
      </c>
      <c r="Q19" s="29" t="n">
        <f aca="false">Q14*Assumptions!$B$71*1000/1000000</f>
        <v>1174.45103404012</v>
      </c>
      <c r="R19" s="29" t="n">
        <f aca="false">R14*Assumptions!$B$71*1000/1000000</f>
        <v>1362.70926852951</v>
      </c>
      <c r="S19" s="29" t="n">
        <f aca="false">S14*Assumptions!$B$71*1000/1000000</f>
        <v>1565.01862950157</v>
      </c>
      <c r="T19" s="29" t="n">
        <f aca="false">T14*Assumptions!$B$71*1000/1000000</f>
        <v>1781.16835005905</v>
      </c>
      <c r="U19" s="29" t="n">
        <f aca="false">U14*Assumptions!$B$71*1000/1000000</f>
        <v>2010.95082480816</v>
      </c>
      <c r="V19" s="29" t="n">
        <f aca="false">V14*Assumptions!$B$71*1000/1000000</f>
        <v>2254.16156243604</v>
      </c>
      <c r="W19" s="29" t="n">
        <f aca="false">W14*Assumptions!$B$71*1000/1000000</f>
        <v>2510.5991389995</v>
      </c>
      <c r="X19" s="29" t="n">
        <f aca="false">X14*Assumptions!$B$71*1000/1000000</f>
        <v>2780.06515191451</v>
      </c>
      <c r="Y19" s="29" t="n">
        <f aca="false">Y14*Assumptions!$B$71*1000/1000000</f>
        <v>3062.36417463579</v>
      </c>
    </row>
    <row r="20" customFormat="false" ht="15" hidden="false" customHeight="false" outlineLevel="0" collapsed="false">
      <c r="A20" s="27" t="s">
        <v>265</v>
      </c>
      <c r="B20" s="29" t="n">
        <f aca="false">B5*Assumptions!$B$12*Trial_Economics!B8/1000000</f>
        <v>0.275</v>
      </c>
      <c r="C20" s="29" t="n">
        <f aca="false">C5*Assumptions!$B$12*Trial_Economics!B8/1000000</f>
        <v>1.21</v>
      </c>
      <c r="D20" s="29" t="n">
        <f aca="false">D5*Assumptions!$B$12*Trial_Economics!B8/1000000</f>
        <v>2.145</v>
      </c>
      <c r="E20" s="29" t="n">
        <f aca="false">E5*Assumptions!$B$12*Trial_Economics!B8/1000000</f>
        <v>3.08</v>
      </c>
      <c r="F20" s="29" t="n">
        <f aca="false">F5*Assumptions!$B$12*Trial_Economics!B8/1000000</f>
        <v>4.015</v>
      </c>
      <c r="G20" s="29" t="n">
        <f aca="false">G5*Assumptions!$B$12*Trial_Economics!B8/1000000</f>
        <v>4.95</v>
      </c>
      <c r="H20" s="29" t="n">
        <f aca="false">H5*Assumptions!$B$12*Trial_Economics!B8/1000000</f>
        <v>6.875</v>
      </c>
      <c r="I20" s="29" t="n">
        <f aca="false">I5*Assumptions!$B$12*Trial_Economics!B8/1000000</f>
        <v>8.8</v>
      </c>
      <c r="J20" s="29" t="n">
        <f aca="false">J5*Assumptions!$B$12*Trial_Economics!B8/1000000</f>
        <v>10.725</v>
      </c>
      <c r="K20" s="29" t="n">
        <f aca="false">K5*Assumptions!$B$12*Trial_Economics!B8/1000000</f>
        <v>12.65</v>
      </c>
      <c r="L20" s="29" t="n">
        <f aca="false">L5*Assumptions!$B$12*Trial_Economics!B8/1000000</f>
        <v>14.575</v>
      </c>
      <c r="M20" s="29" t="n">
        <f aca="false">M5*Assumptions!$B$12*Trial_Economics!B8/1000000</f>
        <v>16.5</v>
      </c>
      <c r="N20" s="29" t="n">
        <f aca="false">N5*Assumptions!$B$12*Trial_Economics!B8/1000000</f>
        <v>18.7916666666667</v>
      </c>
      <c r="O20" s="29" t="n">
        <f aca="false">O5*Assumptions!$B$12*Trial_Economics!B8/1000000</f>
        <v>21.0833333333333</v>
      </c>
      <c r="P20" s="29" t="n">
        <f aca="false">P5*Assumptions!$B$12*Trial_Economics!B8/1000000</f>
        <v>23.375</v>
      </c>
      <c r="Q20" s="29" t="n">
        <f aca="false">Q5*Assumptions!$B$12*Trial_Economics!B8/1000000</f>
        <v>25.6666666666667</v>
      </c>
      <c r="R20" s="29" t="n">
        <f aca="false">R5*Assumptions!$B$12*Trial_Economics!B8/1000000</f>
        <v>27.9583333333333</v>
      </c>
      <c r="S20" s="29" t="n">
        <f aca="false">S5*Assumptions!$B$12*Trial_Economics!B8/1000000</f>
        <v>30.25</v>
      </c>
      <c r="T20" s="29" t="n">
        <f aca="false">T5*Assumptions!$B$12*Trial_Economics!B8/1000000</f>
        <v>32.5416666666667</v>
      </c>
      <c r="U20" s="29" t="n">
        <f aca="false">U5*Assumptions!$B$12*Trial_Economics!B8/1000000</f>
        <v>34.8333333333333</v>
      </c>
      <c r="V20" s="29" t="n">
        <f aca="false">V5*Assumptions!$B$12*Trial_Economics!B8/1000000</f>
        <v>37.125</v>
      </c>
      <c r="W20" s="29" t="n">
        <f aca="false">W5*Assumptions!$B$12*Trial_Economics!B8/1000000</f>
        <v>39.4166666666667</v>
      </c>
      <c r="X20" s="29" t="n">
        <f aca="false">X5*Assumptions!$B$12*Trial_Economics!B8/1000000</f>
        <v>41.7083333333333</v>
      </c>
      <c r="Y20" s="29" t="n">
        <f aca="false">Y5*Assumptions!$B$12*Trial_Economics!B8/1000000</f>
        <v>44</v>
      </c>
    </row>
    <row r="21" customFormat="false" ht="15" hidden="false" customHeight="false" outlineLevel="0" collapsed="false">
      <c r="A21" s="21" t="s">
        <v>266</v>
      </c>
      <c r="B21" s="30" t="n">
        <f aca="false">B17+B18+B19+B20</f>
        <v>1.4756</v>
      </c>
      <c r="C21" s="30" t="n">
        <f aca="false">C17+C18+C19+C20</f>
        <v>7.66786</v>
      </c>
      <c r="D21" s="30" t="n">
        <f aca="false">D17+D18+D19+D20</f>
        <v>17.83114275</v>
      </c>
      <c r="E21" s="30" t="n">
        <f aca="false">E17+E18+E19+E20</f>
        <v>41.96705646125</v>
      </c>
      <c r="F21" s="30" t="n">
        <f aca="false">F17+F18+F19+F20</f>
        <v>72.7576032331563</v>
      </c>
      <c r="G21" s="30" t="n">
        <f aca="false">G17+G18+G19+G20</f>
        <v>110.064336961724</v>
      </c>
      <c r="H21" s="30" t="n">
        <f aca="false">H17+H18+H19+H20</f>
        <v>184.817341749516</v>
      </c>
      <c r="I21" s="30" t="n">
        <f aca="false">I17+I18+I19+I20</f>
        <v>279.051194461267</v>
      </c>
      <c r="J21" s="30" t="n">
        <f aca="false">J17+J18+J19+J20</f>
        <v>392.36089073369</v>
      </c>
      <c r="K21" s="30" t="n">
        <f aca="false">K17+K18+K19+K20</f>
        <v>524.351656923512</v>
      </c>
      <c r="L21" s="30" t="n">
        <f aca="false">L17+L18+L19+L20</f>
        <v>674.638633381769</v>
      </c>
      <c r="M21" s="30" t="n">
        <f aca="false">M17+M18+M19+M20</f>
        <v>842.846569306705</v>
      </c>
      <c r="N21" s="30" t="n">
        <f aca="false">N17+N18+N19+N20</f>
        <v>1032.97819536693</v>
      </c>
      <c r="O21" s="30" t="n">
        <f aca="false">O17+O18+O19+O20</f>
        <v>1244.22534030752</v>
      </c>
      <c r="P21" s="30" t="n">
        <f aca="false">P17+P18+P19+P20</f>
        <v>1476.15744027166</v>
      </c>
      <c r="Q21" s="30" t="n">
        <f aca="false">Q17+Q18+Q19+Q20</f>
        <v>1728.35453979388</v>
      </c>
      <c r="R21" s="30" t="n">
        <f aca="false">R17+R18+R19+R20</f>
        <v>2000.4069714261</v>
      </c>
      <c r="S21" s="30" t="n">
        <f aca="false">S17+S18+S19+S20</f>
        <v>2291.91504684426</v>
      </c>
      <c r="T21" s="30" t="n">
        <f aca="false">T17+T18+T19+T20</f>
        <v>2602.48875897114</v>
      </c>
      <c r="U21" s="30" t="n">
        <f aca="false">U17+U18+U19+U20</f>
        <v>2931.74749467142</v>
      </c>
      <c r="V21" s="30" t="n">
        <f aca="false">V17+V18+V19+V20</f>
        <v>3279.31975759434</v>
      </c>
      <c r="W21" s="30" t="n">
        <f aca="false">W17+W18+W19+W20</f>
        <v>3644.84290075777</v>
      </c>
      <c r="X21" s="30" t="n">
        <f aca="false">X17+X18+X19+X20</f>
        <v>4027.96286848536</v>
      </c>
      <c r="Y21" s="30" t="n">
        <f aca="false">Y17+Y18+Y19+Y20</f>
        <v>4428.3339473249</v>
      </c>
    </row>
  </sheetData>
  <mergeCells count="2">
    <mergeCell ref="A11:Z11"/>
    <mergeCell ref="A16:Z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5" min="2" style="1" width="12"/>
    <col collapsed="false" customWidth="true" hidden="false" outlineLevel="0" max="26" min="26" style="1" width="14"/>
  </cols>
  <sheetData>
    <row r="1" customFormat="false" ht="17.35" hidden="false" customHeight="false" outlineLevel="0" collapsed="false">
      <c r="A1" s="2" t="s">
        <v>267</v>
      </c>
    </row>
    <row r="2" customFormat="false" ht="15" hidden="false" customHeight="false" outlineLevel="0" collapsed="false">
      <c r="A2" s="3" t="s">
        <v>268</v>
      </c>
    </row>
    <row r="4" customFormat="false" ht="15" hidden="false" customHeight="false" outlineLevel="0" collapsed="false">
      <c r="A4" s="6" t="s">
        <v>269</v>
      </c>
      <c r="B4" s="6" t="s">
        <v>169</v>
      </c>
      <c r="C4" s="6" t="s">
        <v>170</v>
      </c>
      <c r="D4" s="6" t="s">
        <v>171</v>
      </c>
      <c r="E4" s="6" t="s">
        <v>172</v>
      </c>
      <c r="F4" s="6" t="s">
        <v>173</v>
      </c>
      <c r="G4" s="6" t="s">
        <v>174</v>
      </c>
      <c r="H4" s="6" t="s">
        <v>175</v>
      </c>
      <c r="I4" s="6" t="s">
        <v>176</v>
      </c>
      <c r="J4" s="6" t="s">
        <v>177</v>
      </c>
      <c r="K4" s="6" t="s">
        <v>178</v>
      </c>
      <c r="L4" s="6" t="s">
        <v>179</v>
      </c>
      <c r="M4" s="6" t="s">
        <v>180</v>
      </c>
      <c r="N4" s="6" t="s">
        <v>181</v>
      </c>
      <c r="O4" s="6" t="s">
        <v>182</v>
      </c>
      <c r="P4" s="6" t="s">
        <v>183</v>
      </c>
      <c r="Q4" s="6" t="s">
        <v>184</v>
      </c>
      <c r="R4" s="6" t="s">
        <v>185</v>
      </c>
      <c r="S4" s="6" t="s">
        <v>186</v>
      </c>
      <c r="T4" s="6" t="s">
        <v>187</v>
      </c>
      <c r="U4" s="6" t="s">
        <v>188</v>
      </c>
      <c r="V4" s="6" t="s">
        <v>189</v>
      </c>
      <c r="W4" s="6" t="s">
        <v>190</v>
      </c>
      <c r="X4" s="6" t="s">
        <v>191</v>
      </c>
      <c r="Y4" s="6" t="s">
        <v>192</v>
      </c>
      <c r="Z4" s="6" t="s">
        <v>193</v>
      </c>
    </row>
    <row r="5" customFormat="false" ht="15" hidden="false" customHeight="true" outlineLevel="0" collapsed="false">
      <c r="A5" s="7" t="s">
        <v>270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5" hidden="false" customHeight="false" outlineLevel="0" collapsed="false">
      <c r="A6" s="8" t="s">
        <v>271</v>
      </c>
      <c r="B6" s="19" t="n">
        <f aca="false">Funnel_24mo!B12*Assumptions!$B$5</f>
        <v>123.48</v>
      </c>
      <c r="C6" s="19" t="n">
        <f aca="false">Funnel_24mo!C12*Assumptions!$B$5</f>
        <v>660.618</v>
      </c>
      <c r="D6" s="19" t="n">
        <f aca="false">Funnel_24mo!D12*Assumptions!$B$5</f>
        <v>1590.7311</v>
      </c>
      <c r="E6" s="19" t="n">
        <f aca="false">Funnel_24mo!E12*Assumptions!$B$5</f>
        <v>3931.402545</v>
      </c>
      <c r="F6" s="19" t="n">
        <f aca="false">Funnel_24mo!F12*Assumptions!$B$5</f>
        <v>6889.74641775</v>
      </c>
      <c r="G6" s="19" t="n">
        <f aca="false">Funnel_24mo!G12*Assumptions!$B$5</f>
        <v>10434.8790968625</v>
      </c>
      <c r="H6" s="19" t="n">
        <f aca="false">Funnel_24mo!H12*Assumptions!$B$5</f>
        <v>17630.6351420194</v>
      </c>
      <c r="I6" s="19" t="n">
        <f aca="false">Funnel_24mo!I12*Assumptions!$B$5</f>
        <v>26627.5033849184</v>
      </c>
      <c r="J6" s="19" t="n">
        <f aca="false">Funnel_24mo!J12*Assumptions!$B$5</f>
        <v>37335.4282156725</v>
      </c>
      <c r="K6" s="19" t="n">
        <f aca="false">Funnel_24mo!K12*Assumptions!$B$5</f>
        <v>49668.8568048889</v>
      </c>
      <c r="L6" s="19" t="n">
        <f aca="false">Funnel_24mo!L12*Assumptions!$B$5</f>
        <v>63546.5139646444</v>
      </c>
      <c r="M6" s="19" t="n">
        <f aca="false">Funnel_24mo!M12*Assumptions!$B$5</f>
        <v>78891.1882664122</v>
      </c>
      <c r="N6" s="19" t="n">
        <f aca="false">Funnel_24mo!N12*Assumptions!$B$5</f>
        <v>96041.1288530916</v>
      </c>
      <c r="O6" s="19" t="n">
        <f aca="false">Funnel_24mo!O12*Assumptions!$B$5</f>
        <v>114906.072410437</v>
      </c>
      <c r="P6" s="19" t="n">
        <f aca="false">Funnel_24mo!P12*Assumptions!$B$5</f>
        <v>135400.268789915</v>
      </c>
      <c r="Q6" s="19" t="n">
        <f aca="false">Funnel_24mo!Q12*Assumptions!$B$5</f>
        <v>157442.255350419</v>
      </c>
      <c r="R6" s="19" t="n">
        <f aca="false">Funnel_24mo!R12*Assumptions!$B$5</f>
        <v>180954.642582898</v>
      </c>
      <c r="S6" s="19" t="n">
        <f aca="false">Funnel_24mo!S12*Assumptions!$B$5</f>
        <v>205863.910453753</v>
      </c>
      <c r="T6" s="19" t="n">
        <f aca="false">Funnel_24mo!T12*Assumptions!$B$5</f>
        <v>232100.214931066</v>
      </c>
      <c r="U6" s="19" t="n">
        <f aca="false">Funnel_24mo!U12*Assumptions!$B$5</f>
        <v>259597.204184513</v>
      </c>
      <c r="V6" s="19" t="n">
        <f aca="false">Funnel_24mo!V12*Assumptions!$B$5</f>
        <v>288291.843975287</v>
      </c>
      <c r="W6" s="19" t="n">
        <f aca="false">Funnel_24mo!W12*Assumptions!$B$5</f>
        <v>318124.251776523</v>
      </c>
      <c r="X6" s="19" t="n">
        <f aca="false">Funnel_24mo!X12*Assumptions!$B$5</f>
        <v>349037.539187696</v>
      </c>
      <c r="Y6" s="19" t="n">
        <f aca="false">Funnel_24mo!Y12*Assumptions!$B$5</f>
        <v>380977.662228312</v>
      </c>
      <c r="Z6" s="20" t="n">
        <f aca="false">SUM(B6:Y6)</f>
        <v>3016067.97766208</v>
      </c>
    </row>
    <row r="7" customFormat="false" ht="15" hidden="false" customHeight="false" outlineLevel="0" collapsed="false">
      <c r="A7" s="8" t="s">
        <v>272</v>
      </c>
      <c r="B7" s="19" t="n">
        <f aca="false">Funnel_24mo!B13*Assumptions!$B$7</f>
        <v>269.1</v>
      </c>
      <c r="C7" s="19" t="n">
        <f aca="false">Funnel_24mo!C13*Assumptions!$B$7</f>
        <v>1445.067</v>
      </c>
      <c r="D7" s="19" t="n">
        <f aca="false">Funnel_24mo!D13*Assumptions!$B$7</f>
        <v>3500.69499</v>
      </c>
      <c r="E7" s="19" t="n">
        <f aca="false">Funnel_24mo!E13*Assumptions!$B$7</f>
        <v>8670.0341403</v>
      </c>
      <c r="F7" s="19" t="n">
        <f aca="false">Funnel_24mo!F13*Assumptions!$B$7</f>
        <v>15285.438116091</v>
      </c>
      <c r="G7" s="19" t="n">
        <f aca="false">Funnel_24mo!G13*Assumptions!$B$7</f>
        <v>23303.5249726083</v>
      </c>
      <c r="H7" s="19" t="n">
        <f aca="false">Funnel_24mo!H13*Assumptions!$B$7</f>
        <v>39423.16922343</v>
      </c>
      <c r="I7" s="19" t="n">
        <f aca="false">Funnel_24mo!I13*Assumptions!$B$7</f>
        <v>59768.4741467271</v>
      </c>
      <c r="J7" s="19" t="n">
        <f aca="false">Funnel_24mo!J13*Assumptions!$B$7</f>
        <v>84212.6699223253</v>
      </c>
      <c r="K7" s="19" t="n">
        <f aca="false">Funnel_24mo!K13*Assumptions!$B$7</f>
        <v>112632.789824656</v>
      </c>
      <c r="L7" s="19" t="n">
        <f aca="false">Funnel_24mo!L13*Assumptions!$B$7</f>
        <v>144909.556129916</v>
      </c>
      <c r="M7" s="19" t="n">
        <f aca="false">Funnel_24mo!M13*Assumptions!$B$7</f>
        <v>180927.269446018</v>
      </c>
      <c r="N7" s="19" t="n">
        <f aca="false">Funnel_24mo!N13*Assumptions!$B$7</f>
        <v>221470.701362638</v>
      </c>
      <c r="O7" s="19" t="n">
        <f aca="false">Funnel_24mo!O13*Assumptions!$B$7</f>
        <v>266404.080321759</v>
      </c>
      <c r="P7" s="19" t="n">
        <f aca="false">Funnel_24mo!P13*Assumptions!$B$7</f>
        <v>315595.707912106</v>
      </c>
      <c r="Q7" s="19" t="n">
        <f aca="false">Funnel_24mo!Q13*Assumptions!$B$7</f>
        <v>368917.836674743</v>
      </c>
      <c r="R7" s="19" t="n">
        <f aca="false">Funnel_24mo!R13*Assumptions!$B$7</f>
        <v>426246.5515745</v>
      </c>
      <c r="S7" s="19" t="n">
        <f aca="false">Funnel_24mo!S13*Assumptions!$B$7</f>
        <v>487461.655027265</v>
      </c>
      <c r="T7" s="19" t="n">
        <f aca="false">Funnel_24mo!T13*Assumptions!$B$7</f>
        <v>552446.555376447</v>
      </c>
      <c r="U7" s="19" t="n">
        <f aca="false">Funnel_24mo!U13*Assumptions!$B$7</f>
        <v>621088.158715154</v>
      </c>
      <c r="V7" s="19" t="n">
        <f aca="false">Funnel_24mo!V13*Assumptions!$B$7</f>
        <v>693276.763953699</v>
      </c>
      <c r="W7" s="19" t="n">
        <f aca="false">Funnel_24mo!W13*Assumptions!$B$7</f>
        <v>768905.961035088</v>
      </c>
      <c r="X7" s="19" t="n">
        <f aca="false">Funnel_24mo!X13*Assumptions!$B$7</f>
        <v>847872.532204036</v>
      </c>
      <c r="Y7" s="19" t="n">
        <f aca="false">Funnel_24mo!Y13*Assumptions!$B$7</f>
        <v>930076.356237914</v>
      </c>
      <c r="Z7" s="20" t="n">
        <f aca="false">SUM(B7:Y7)</f>
        <v>7174110.64830742</v>
      </c>
    </row>
    <row r="8" customFormat="false" ht="15" hidden="false" customHeight="false" outlineLevel="0" collapsed="false">
      <c r="A8" s="8" t="s">
        <v>273</v>
      </c>
      <c r="B8" s="19" t="n">
        <f aca="false">Funnel_24mo!B14*Assumptions!$B$9</f>
        <v>269.82</v>
      </c>
      <c r="C8" s="19" t="n">
        <f aca="false">Funnel_24mo!C14*Assumptions!$B$9</f>
        <v>1452.9807</v>
      </c>
      <c r="D8" s="19" t="n">
        <f aca="false">Funnel_24mo!D14*Assumptions!$B$9</f>
        <v>3535.7819895</v>
      </c>
      <c r="E8" s="19" t="n">
        <f aca="false">Funnel_24mo!E14*Assumptions!$B$9</f>
        <v>8771.2172596575</v>
      </c>
      <c r="F8" s="19" t="n">
        <f aca="false">Funnel_24mo!F14*Assumptions!$B$9</f>
        <v>15533.5500007626</v>
      </c>
      <c r="G8" s="19" t="n">
        <f aca="false">Funnel_24mo!G14*Assumptions!$B$9</f>
        <v>23799.8767507512</v>
      </c>
      <c r="H8" s="19" t="n">
        <f aca="false">Funnel_24mo!H14*Assumptions!$B$9</f>
        <v>40306.6285994899</v>
      </c>
      <c r="I8" s="19" t="n">
        <f aca="false">Funnel_24mo!I14*Assumptions!$B$9</f>
        <v>61287.6291704976</v>
      </c>
      <c r="J8" s="19" t="n">
        <f aca="false">Funnel_24mo!J14*Assumptions!$B$9</f>
        <v>86675.7647329401</v>
      </c>
      <c r="K8" s="19" t="n">
        <f aca="false">Funnel_24mo!K14*Assumptions!$B$9</f>
        <v>116404.928261946</v>
      </c>
      <c r="L8" s="19" t="n">
        <f aca="false">Funnel_24mo!L14*Assumptions!$B$9</f>
        <v>150410.004338017</v>
      </c>
      <c r="M8" s="19" t="n">
        <f aca="false">Funnel_24mo!M14*Assumptions!$B$9</f>
        <v>188626.854272947</v>
      </c>
      <c r="N8" s="19" t="n">
        <f aca="false">Funnel_24mo!N14*Assumptions!$B$9</f>
        <v>231891.701458852</v>
      </c>
      <c r="O8" s="19" t="n">
        <f aca="false">Funnel_24mo!O14*Assumptions!$B$9</f>
        <v>280128.82593697</v>
      </c>
      <c r="P8" s="19" t="n">
        <f aca="false">Funnel_24mo!P14*Assumptions!$B$9</f>
        <v>333263.643547915</v>
      </c>
      <c r="Q8" s="19" t="n">
        <f aca="false">Funnel_24mo!Q14*Assumptions!$B$9</f>
        <v>391222.688894696</v>
      </c>
      <c r="R8" s="19" t="n">
        <f aca="false">Funnel_24mo!R14*Assumptions!$B$9</f>
        <v>453933.598561276</v>
      </c>
      <c r="S8" s="19" t="n">
        <f aca="false">Funnel_24mo!S14*Assumptions!$B$9</f>
        <v>521325.094582857</v>
      </c>
      <c r="T8" s="19" t="n">
        <f aca="false">Funnel_24mo!T14*Assumptions!$B$9</f>
        <v>593326.968164114</v>
      </c>
      <c r="U8" s="19" t="n">
        <f aca="false">Funnel_24mo!U14*Assumptions!$B$9</f>
        <v>669870.063641652</v>
      </c>
      <c r="V8" s="19" t="n">
        <f aca="false">Funnel_24mo!V14*Assumptions!$B$9</f>
        <v>750886.262687027</v>
      </c>
      <c r="W8" s="19" t="n">
        <f aca="false">Funnel_24mo!W14*Assumptions!$B$9</f>
        <v>836308.468746722</v>
      </c>
      <c r="X8" s="19" t="n">
        <f aca="false">Funnel_24mo!X14*Assumptions!$B$9</f>
        <v>926070.591715521</v>
      </c>
      <c r="Y8" s="19" t="n">
        <f aca="false">Funnel_24mo!Y14*Assumptions!$B$9</f>
        <v>1020107.53283979</v>
      </c>
      <c r="Z8" s="20" t="n">
        <f aca="false">SUM(B8:Y8)</f>
        <v>7705410.4768539</v>
      </c>
    </row>
    <row r="9" customFormat="false" ht="15" hidden="false" customHeight="false" outlineLevel="0" collapsed="false">
      <c r="A9" s="21" t="s">
        <v>274</v>
      </c>
      <c r="B9" s="22" t="n">
        <f aca="false">B6+B7+B8</f>
        <v>662.4</v>
      </c>
      <c r="C9" s="22" t="n">
        <f aca="false">C6+C7+C8</f>
        <v>3558.6657</v>
      </c>
      <c r="D9" s="22" t="n">
        <f aca="false">D6+D7+D8</f>
        <v>8627.2080795</v>
      </c>
      <c r="E9" s="22" t="n">
        <f aca="false">E6+E7+E8</f>
        <v>21372.6539449575</v>
      </c>
      <c r="F9" s="22" t="n">
        <f aca="false">F6+F7+F8</f>
        <v>37708.7345346036</v>
      </c>
      <c r="G9" s="22" t="n">
        <f aca="false">G6+G7+G8</f>
        <v>57538.280820222</v>
      </c>
      <c r="H9" s="22" t="n">
        <f aca="false">H6+H7+H8</f>
        <v>97360.4329649393</v>
      </c>
      <c r="I9" s="22" t="n">
        <f aca="false">I6+I7+I8</f>
        <v>147683.606702143</v>
      </c>
      <c r="J9" s="22" t="n">
        <f aca="false">J6+J7+J8</f>
        <v>208223.862870938</v>
      </c>
      <c r="K9" s="22" t="n">
        <f aca="false">K6+K7+K8</f>
        <v>278706.57489149</v>
      </c>
      <c r="L9" s="22" t="n">
        <f aca="false">L6+L7+L8</f>
        <v>358866.074432577</v>
      </c>
      <c r="M9" s="22" t="n">
        <f aca="false">M6+M7+M8</f>
        <v>448445.311985377</v>
      </c>
      <c r="N9" s="22" t="n">
        <f aca="false">N6+N7+N8</f>
        <v>549403.531674582</v>
      </c>
      <c r="O9" s="22" t="n">
        <f aca="false">O6+O7+O8</f>
        <v>661438.978669165</v>
      </c>
      <c r="P9" s="22" t="n">
        <f aca="false">P6+P7+P8</f>
        <v>784259.620249936</v>
      </c>
      <c r="Q9" s="22" t="n">
        <f aca="false">Q6+Q7+Q8</f>
        <v>917582.780919859</v>
      </c>
      <c r="R9" s="22" t="n">
        <f aca="false">R6+R7+R8</f>
        <v>1061134.79271867</v>
      </c>
      <c r="S9" s="22" t="n">
        <f aca="false">S6+S7+S8</f>
        <v>1214650.66006388</v>
      </c>
      <c r="T9" s="22" t="n">
        <f aca="false">T6+T7+T8</f>
        <v>1377873.73847163</v>
      </c>
      <c r="U9" s="22" t="n">
        <f aca="false">U6+U7+U8</f>
        <v>1550555.42654132</v>
      </c>
      <c r="V9" s="22" t="n">
        <f aca="false">V6+V7+V8</f>
        <v>1732454.87061601</v>
      </c>
      <c r="W9" s="22" t="n">
        <f aca="false">W6+W7+W8</f>
        <v>1923338.68155833</v>
      </c>
      <c r="X9" s="22" t="n">
        <f aca="false">X6+X7+X8</f>
        <v>2122980.66310725</v>
      </c>
      <c r="Y9" s="22" t="n">
        <f aca="false">Y6+Y7+Y8</f>
        <v>2331161.55130601</v>
      </c>
      <c r="Z9" s="22" t="n">
        <f aca="false">SUM(B9:Y9)</f>
        <v>17895589.1028234</v>
      </c>
    </row>
    <row r="10" customFormat="false" ht="15" hidden="false" customHeight="false" outlineLevel="0" collapsed="false">
      <c r="A10" s="8" t="s">
        <v>275</v>
      </c>
      <c r="B10" s="19" t="n">
        <f aca="false">B9*Assumptions!$B$72</f>
        <v>52.992</v>
      </c>
      <c r="C10" s="19" t="n">
        <f aca="false">C9*Assumptions!$B$72</f>
        <v>284.693256</v>
      </c>
      <c r="D10" s="19" t="n">
        <f aca="false">D9*Assumptions!$B$72</f>
        <v>690.17664636</v>
      </c>
      <c r="E10" s="19" t="n">
        <f aca="false">E9*Assumptions!$B$72</f>
        <v>1709.8123155966</v>
      </c>
      <c r="F10" s="19" t="n">
        <f aca="false">F9*Assumptions!$B$72</f>
        <v>3016.69876276829</v>
      </c>
      <c r="G10" s="19" t="n">
        <f aca="false">G9*Assumptions!$B$72</f>
        <v>4603.06246561776</v>
      </c>
      <c r="H10" s="19" t="n">
        <f aca="false">H9*Assumptions!$B$72</f>
        <v>7788.83463719515</v>
      </c>
      <c r="I10" s="19" t="n">
        <f aca="false">I9*Assumptions!$B$72</f>
        <v>11814.6885361714</v>
      </c>
      <c r="J10" s="19" t="n">
        <f aca="false">J9*Assumptions!$B$72</f>
        <v>16657.909029675</v>
      </c>
      <c r="K10" s="19" t="n">
        <f aca="false">K9*Assumptions!$B$72</f>
        <v>22296.5259913192</v>
      </c>
      <c r="L10" s="19" t="n">
        <f aca="false">L9*Assumptions!$B$72</f>
        <v>28709.2859546062</v>
      </c>
      <c r="M10" s="19" t="n">
        <f aca="false">M9*Assumptions!$B$72</f>
        <v>35875.6249588302</v>
      </c>
      <c r="N10" s="19" t="n">
        <f aca="false">N9*Assumptions!$B$72</f>
        <v>43952.2825339665</v>
      </c>
      <c r="O10" s="19" t="n">
        <f aca="false">O9*Assumptions!$B$72</f>
        <v>52915.1182935332</v>
      </c>
      <c r="P10" s="19" t="n">
        <f aca="false">P9*Assumptions!$B$72</f>
        <v>62740.7696199949</v>
      </c>
      <c r="Q10" s="19" t="n">
        <f aca="false">Q9*Assumptions!$B$72</f>
        <v>73406.6224735887</v>
      </c>
      <c r="R10" s="19" t="n">
        <f aca="false">R9*Assumptions!$B$72</f>
        <v>84890.783417494</v>
      </c>
      <c r="S10" s="19" t="n">
        <f aca="false">S9*Assumptions!$B$72</f>
        <v>97172.0528051101</v>
      </c>
      <c r="T10" s="19" t="n">
        <f aca="false">T9*Assumptions!$B$72</f>
        <v>110229.89907773</v>
      </c>
      <c r="U10" s="19" t="n">
        <f aca="false">U9*Assumptions!$B$72</f>
        <v>124044.434123305</v>
      </c>
      <c r="V10" s="19" t="n">
        <f aca="false">V9*Assumptions!$B$72</f>
        <v>138596.389649281</v>
      </c>
      <c r="W10" s="19" t="n">
        <f aca="false">W9*Assumptions!$B$72</f>
        <v>153867.094524667</v>
      </c>
      <c r="X10" s="19" t="n">
        <f aca="false">X9*Assumptions!$B$72</f>
        <v>169838.45304858</v>
      </c>
      <c r="Y10" s="19" t="n">
        <f aca="false">Y9*Assumptions!$B$72</f>
        <v>186492.924104481</v>
      </c>
      <c r="Z10" s="20" t="n">
        <f aca="false">SUM(B10:Y10)</f>
        <v>1431647.12822587</v>
      </c>
    </row>
    <row r="11" customFormat="false" ht="15" hidden="false" customHeight="false" outlineLevel="0" collapsed="false">
      <c r="A11" s="31" t="s">
        <v>276</v>
      </c>
      <c r="B11" s="22" t="n">
        <f aca="false">B9+B10</f>
        <v>715.392</v>
      </c>
      <c r="C11" s="22" t="n">
        <f aca="false">C9+C10</f>
        <v>3843.358956</v>
      </c>
      <c r="D11" s="22" t="n">
        <f aca="false">D9+D10</f>
        <v>9317.38472586</v>
      </c>
      <c r="E11" s="22" t="n">
        <f aca="false">E9+E10</f>
        <v>23082.4662605541</v>
      </c>
      <c r="F11" s="22" t="n">
        <f aca="false">F9+F10</f>
        <v>40725.4332973719</v>
      </c>
      <c r="G11" s="22" t="n">
        <f aca="false">G9+G10</f>
        <v>62141.3432858397</v>
      </c>
      <c r="H11" s="22" t="n">
        <f aca="false">H9+H10</f>
        <v>105149.267602134</v>
      </c>
      <c r="I11" s="22" t="n">
        <f aca="false">I9+I10</f>
        <v>159498.295238315</v>
      </c>
      <c r="J11" s="22" t="n">
        <f aca="false">J9+J10</f>
        <v>224881.771900613</v>
      </c>
      <c r="K11" s="22" t="n">
        <f aca="false">K9+K10</f>
        <v>301003.10088281</v>
      </c>
      <c r="L11" s="22" t="n">
        <f aca="false">L9+L10</f>
        <v>387575.360387183</v>
      </c>
      <c r="M11" s="22" t="n">
        <f aca="false">M9+M10</f>
        <v>484320.936944207</v>
      </c>
      <c r="N11" s="22" t="n">
        <f aca="false">N9+N10</f>
        <v>593355.814208548</v>
      </c>
      <c r="O11" s="22" t="n">
        <f aca="false">O9+O10</f>
        <v>714354.096962699</v>
      </c>
      <c r="P11" s="22" t="n">
        <f aca="false">P9+P10</f>
        <v>847000.389869931</v>
      </c>
      <c r="Q11" s="22" t="n">
        <f aca="false">Q9+Q10</f>
        <v>990989.403393447</v>
      </c>
      <c r="R11" s="22" t="n">
        <f aca="false">R9+R10</f>
        <v>1146025.57613617</v>
      </c>
      <c r="S11" s="22" t="n">
        <f aca="false">S9+S10</f>
        <v>1311822.71286899</v>
      </c>
      <c r="T11" s="22" t="n">
        <f aca="false">T9+T10</f>
        <v>1488103.63754936</v>
      </c>
      <c r="U11" s="22" t="n">
        <f aca="false">U9+U10</f>
        <v>1674599.86066462</v>
      </c>
      <c r="V11" s="22" t="n">
        <f aca="false">V9+V10</f>
        <v>1871051.26026529</v>
      </c>
      <c r="W11" s="22" t="n">
        <f aca="false">W9+W10</f>
        <v>2077205.776083</v>
      </c>
      <c r="X11" s="22" t="n">
        <f aca="false">X9+X10</f>
        <v>2292819.11615583</v>
      </c>
      <c r="Y11" s="22" t="n">
        <f aca="false">Y9+Y10</f>
        <v>2517654.4754105</v>
      </c>
      <c r="Z11" s="22" t="n">
        <f aca="false">SUM(B11:Y11)</f>
        <v>19327236.2310493</v>
      </c>
    </row>
    <row r="12" customFormat="false" ht="15" hidden="false" customHeight="true" outlineLevel="0" collapsed="false">
      <c r="A12" s="7" t="s">
        <v>277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15" hidden="false" customHeight="false" outlineLevel="0" collapsed="false">
      <c r="A13" s="8" t="s">
        <v>278</v>
      </c>
      <c r="B13" s="32" t="n">
        <f aca="false">Cost_Stack!B19</f>
        <v>7.378</v>
      </c>
      <c r="C13" s="32" t="n">
        <f aca="false">Cost_Stack!C19</f>
        <v>38.3393</v>
      </c>
      <c r="D13" s="32" t="n">
        <f aca="false">Cost_Stack!D19</f>
        <v>89.15571375</v>
      </c>
      <c r="E13" s="32" t="n">
        <f aca="false">Cost_Stack!E19</f>
        <v>209.83528230625</v>
      </c>
      <c r="F13" s="32" t="n">
        <f aca="false">Cost_Stack!F19</f>
        <v>363.788016165781</v>
      </c>
      <c r="G13" s="32" t="n">
        <f aca="false">Cost_Stack!G19</f>
        <v>550.321684808621</v>
      </c>
      <c r="H13" s="32" t="n">
        <f aca="false">Cost_Stack!H19</f>
        <v>924.086708747582</v>
      </c>
      <c r="I13" s="32" t="n">
        <f aca="false">Cost_Stack!I19</f>
        <v>1395.25597230633</v>
      </c>
      <c r="J13" s="32" t="n">
        <f aca="false">Cost_Stack!J19</f>
        <v>980.902226834226</v>
      </c>
      <c r="K13" s="32" t="n">
        <f aca="false">Cost_Stack!K19</f>
        <v>1310.87914230878</v>
      </c>
      <c r="L13" s="32" t="n">
        <f aca="false">Cost_Stack!L19</f>
        <v>1686.59658345442</v>
      </c>
      <c r="M13" s="32" t="n">
        <f aca="false">Cost_Stack!M19</f>
        <v>2107.11642326676</v>
      </c>
      <c r="N13" s="32" t="n">
        <f aca="false">Cost_Stack!N19</f>
        <v>2582.44548841733</v>
      </c>
      <c r="O13" s="32" t="n">
        <f aca="false">Cost_Stack!O19</f>
        <v>3110.5633507688</v>
      </c>
      <c r="P13" s="32" t="n">
        <f aca="false">Cost_Stack!P19</f>
        <v>3690.39360067915</v>
      </c>
      <c r="Q13" s="32" t="n">
        <f aca="false">Cost_Stack!Q19</f>
        <v>4320.88634948471</v>
      </c>
      <c r="R13" s="32" t="n">
        <f aca="false">Cost_Stack!R19</f>
        <v>5001.01742856526</v>
      </c>
      <c r="S13" s="32" t="n">
        <f aca="false">Cost_Stack!S19</f>
        <v>5729.78761711066</v>
      </c>
      <c r="T13" s="32" t="n">
        <f aca="false">Cost_Stack!T19</f>
        <v>6506.22189742785</v>
      </c>
      <c r="U13" s="32" t="n">
        <f aca="false">Cost_Stack!U19</f>
        <v>7329.36873667856</v>
      </c>
      <c r="V13" s="32" t="n">
        <f aca="false">Cost_Stack!V19</f>
        <v>8198.29939398585</v>
      </c>
      <c r="W13" s="32" t="n">
        <f aca="false">Cost_Stack!W19</f>
        <v>9112.10725189444</v>
      </c>
      <c r="X13" s="32" t="n">
        <f aca="false">Cost_Stack!X19</f>
        <v>10069.9071712134</v>
      </c>
      <c r="Y13" s="32" t="n">
        <f aca="false">Cost_Stack!Y19</f>
        <v>11070.8348683123</v>
      </c>
      <c r="Z13" s="20" t="n">
        <f aca="false">SUM(B13:Y13)</f>
        <v>86385.488208487</v>
      </c>
    </row>
    <row r="14" customFormat="false" ht="15" hidden="false" customHeight="false" outlineLevel="0" collapsed="false">
      <c r="A14" s="8" t="s">
        <v>279</v>
      </c>
      <c r="B14" s="19" t="n">
        <f aca="false">B11*Assumptions!$B$17</f>
        <v>20.746368</v>
      </c>
      <c r="C14" s="19" t="n">
        <f aca="false">C11*Assumptions!$B$17</f>
        <v>111.457409724</v>
      </c>
      <c r="D14" s="19" t="n">
        <f aca="false">D11*Assumptions!$B$17</f>
        <v>270.20415704994</v>
      </c>
      <c r="E14" s="19" t="n">
        <f aca="false">E11*Assumptions!$B$17</f>
        <v>669.391521556069</v>
      </c>
      <c r="F14" s="19" t="n">
        <f aca="false">F11*Assumptions!$B$17</f>
        <v>1181.03756562379</v>
      </c>
      <c r="G14" s="19" t="n">
        <f aca="false">G11*Assumptions!$B$17</f>
        <v>1802.09895528935</v>
      </c>
      <c r="H14" s="19" t="n">
        <f aca="false">H11*Assumptions!$B$17</f>
        <v>3049.3287604619</v>
      </c>
      <c r="I14" s="19" t="n">
        <f aca="false">I11*Assumptions!$B$17</f>
        <v>4625.45056191112</v>
      </c>
      <c r="J14" s="19" t="n">
        <f aca="false">J11*Assumptions!$B$17</f>
        <v>6521.57138511778</v>
      </c>
      <c r="K14" s="19" t="n">
        <f aca="false">K11*Assumptions!$B$17</f>
        <v>8729.08992560148</v>
      </c>
      <c r="L14" s="19" t="n">
        <f aca="false">L11*Assumptions!$B$17</f>
        <v>11239.6854512283</v>
      </c>
      <c r="M14" s="19" t="n">
        <f aca="false">M11*Assumptions!$B$17</f>
        <v>14045.307171382</v>
      </c>
      <c r="N14" s="19" t="n">
        <f aca="false">N11*Assumptions!$B$17</f>
        <v>17207.3186120479</v>
      </c>
      <c r="O14" s="19" t="n">
        <f aca="false">O11*Assumptions!$B$17</f>
        <v>20716.2688119183</v>
      </c>
      <c r="P14" s="19" t="n">
        <f aca="false">P11*Assumptions!$B$17</f>
        <v>24563.011306228</v>
      </c>
      <c r="Q14" s="19" t="n">
        <f aca="false">Q11*Assumptions!$B$17</f>
        <v>28738.69269841</v>
      </c>
      <c r="R14" s="19" t="n">
        <f aca="false">R11*Assumptions!$B$17</f>
        <v>33234.7417079489</v>
      </c>
      <c r="S14" s="19" t="n">
        <f aca="false">S11*Assumptions!$B$17</f>
        <v>38042.8586732006</v>
      </c>
      <c r="T14" s="19" t="n">
        <f aca="false">T11*Assumptions!$B$17</f>
        <v>43155.0054889314</v>
      </c>
      <c r="U14" s="19" t="n">
        <f aca="false">U11*Assumptions!$B$17</f>
        <v>48563.3959592741</v>
      </c>
      <c r="V14" s="19" t="n">
        <f aca="false">V11*Assumptions!$B$17</f>
        <v>54260.4865476935</v>
      </c>
      <c r="W14" s="19" t="n">
        <f aca="false">W11*Assumptions!$B$17</f>
        <v>60238.967506407</v>
      </c>
      <c r="X14" s="19" t="n">
        <f aca="false">X11*Assumptions!$B$17</f>
        <v>66491.7543685192</v>
      </c>
      <c r="Y14" s="19" t="n">
        <f aca="false">Y11*Assumptions!$B$17</f>
        <v>73011.9797869044</v>
      </c>
      <c r="Z14" s="20" t="n">
        <f aca="false">SUM(B14:Y14)</f>
        <v>560489.850700429</v>
      </c>
    </row>
    <row r="15" customFormat="false" ht="15" hidden="false" customHeight="false" outlineLevel="0" collapsed="false">
      <c r="A15" s="31" t="s">
        <v>280</v>
      </c>
      <c r="B15" s="22" t="n">
        <f aca="false">B13+B14</f>
        <v>28.124368</v>
      </c>
      <c r="C15" s="22" t="n">
        <f aca="false">C13+C14</f>
        <v>149.796709724</v>
      </c>
      <c r="D15" s="22" t="n">
        <f aca="false">D13+D14</f>
        <v>359.35987079994</v>
      </c>
      <c r="E15" s="22" t="n">
        <f aca="false">E13+E14</f>
        <v>879.226803862319</v>
      </c>
      <c r="F15" s="22" t="n">
        <f aca="false">F13+F14</f>
        <v>1544.82558178957</v>
      </c>
      <c r="G15" s="22" t="n">
        <f aca="false">G13+G14</f>
        <v>2352.42064009797</v>
      </c>
      <c r="H15" s="22" t="n">
        <f aca="false">H13+H14</f>
        <v>3973.41546920948</v>
      </c>
      <c r="I15" s="22" t="n">
        <f aca="false">I13+I14</f>
        <v>6020.70653421746</v>
      </c>
      <c r="J15" s="22" t="n">
        <f aca="false">J13+J14</f>
        <v>7502.473611952</v>
      </c>
      <c r="K15" s="22" t="n">
        <f aca="false">K13+K14</f>
        <v>10039.9690679103</v>
      </c>
      <c r="L15" s="22" t="n">
        <f aca="false">L13+L14</f>
        <v>12926.2820346827</v>
      </c>
      <c r="M15" s="22" t="n">
        <f aca="false">M13+M14</f>
        <v>16152.4235946488</v>
      </c>
      <c r="N15" s="22" t="n">
        <f aca="false">N13+N14</f>
        <v>19789.7641004652</v>
      </c>
      <c r="O15" s="22" t="n">
        <f aca="false">O13+O14</f>
        <v>23826.8321626871</v>
      </c>
      <c r="P15" s="22" t="n">
        <f aca="false">P13+P14</f>
        <v>28253.4049069072</v>
      </c>
      <c r="Q15" s="22" t="n">
        <f aca="false">Q13+Q14</f>
        <v>33059.5790478947</v>
      </c>
      <c r="R15" s="22" t="n">
        <f aca="false">R13+R14</f>
        <v>38235.7591365142</v>
      </c>
      <c r="S15" s="22" t="n">
        <f aca="false">S13+S14</f>
        <v>43772.6462903112</v>
      </c>
      <c r="T15" s="22" t="n">
        <f aca="false">T13+T14</f>
        <v>49661.2273863592</v>
      </c>
      <c r="U15" s="22" t="n">
        <f aca="false">U13+U14</f>
        <v>55892.7646959527</v>
      </c>
      <c r="V15" s="22" t="n">
        <f aca="false">V13+V14</f>
        <v>62458.7859416794</v>
      </c>
      <c r="W15" s="22" t="n">
        <f aca="false">W13+W14</f>
        <v>69351.0747583014</v>
      </c>
      <c r="X15" s="22" t="n">
        <f aca="false">X13+X14</f>
        <v>76561.6615397326</v>
      </c>
      <c r="Y15" s="22" t="n">
        <f aca="false">Y13+Y14</f>
        <v>84082.8146552166</v>
      </c>
      <c r="Z15" s="22" t="n">
        <f aca="false">SUM(B15:Y15)</f>
        <v>646875.338908916</v>
      </c>
    </row>
    <row r="16" customFormat="false" ht="15" hidden="false" customHeight="false" outlineLevel="0" collapsed="false">
      <c r="A16" s="31" t="s">
        <v>281</v>
      </c>
      <c r="B16" s="22" t="n">
        <f aca="false">B11-B15</f>
        <v>687.267632</v>
      </c>
      <c r="C16" s="22" t="n">
        <f aca="false">C11-C15</f>
        <v>3693.562246276</v>
      </c>
      <c r="D16" s="22" t="n">
        <f aca="false">D11-D15</f>
        <v>8958.02485506006</v>
      </c>
      <c r="E16" s="22" t="n">
        <f aca="false">E11-E15</f>
        <v>22203.2394566918</v>
      </c>
      <c r="F16" s="22" t="n">
        <f aca="false">F11-F15</f>
        <v>39180.6077155824</v>
      </c>
      <c r="G16" s="22" t="n">
        <f aca="false">G11-G15</f>
        <v>59788.9226457417</v>
      </c>
      <c r="H16" s="22" t="n">
        <f aca="false">H11-H15</f>
        <v>101175.852132925</v>
      </c>
      <c r="I16" s="22" t="n">
        <f aca="false">I11-I15</f>
        <v>153477.588704097</v>
      </c>
      <c r="J16" s="22" t="n">
        <f aca="false">J11-J15</f>
        <v>217379.298288661</v>
      </c>
      <c r="K16" s="22" t="n">
        <f aca="false">K11-K15</f>
        <v>290963.131814899</v>
      </c>
      <c r="L16" s="22" t="n">
        <f aca="false">L11-L15</f>
        <v>374649.078352501</v>
      </c>
      <c r="M16" s="22" t="n">
        <f aca="false">M11-M15</f>
        <v>468168.513349559</v>
      </c>
      <c r="N16" s="22" t="n">
        <f aca="false">N11-N15</f>
        <v>573566.050108083</v>
      </c>
      <c r="O16" s="22" t="n">
        <f aca="false">O11-O15</f>
        <v>690527.264800011</v>
      </c>
      <c r="P16" s="22" t="n">
        <f aca="false">P11-P15</f>
        <v>818746.984963024</v>
      </c>
      <c r="Q16" s="22" t="n">
        <f aca="false">Q11-Q15</f>
        <v>957929.824345553</v>
      </c>
      <c r="R16" s="22" t="n">
        <f aca="false">R11-R15</f>
        <v>1107789.81699965</v>
      </c>
      <c r="S16" s="22" t="n">
        <f aca="false">S11-S15</f>
        <v>1268050.06657867</v>
      </c>
      <c r="T16" s="22" t="n">
        <f aca="false">T11-T15</f>
        <v>1438442.410163</v>
      </c>
      <c r="U16" s="22" t="n">
        <f aca="false">U11-U15</f>
        <v>1618707.09596867</v>
      </c>
      <c r="V16" s="22" t="n">
        <f aca="false">V11-V15</f>
        <v>1808592.47432361</v>
      </c>
      <c r="W16" s="22" t="n">
        <f aca="false">W11-W15</f>
        <v>2007854.7013247</v>
      </c>
      <c r="X16" s="22" t="n">
        <f aca="false">X11-X15</f>
        <v>2216257.4546161</v>
      </c>
      <c r="Y16" s="22" t="n">
        <f aca="false">Y11-Y15</f>
        <v>2433571.66075528</v>
      </c>
      <c r="Z16" s="22" t="n">
        <f aca="false">SUM(B16:Y16)</f>
        <v>18680360.8921404</v>
      </c>
    </row>
    <row r="17" customFormat="false" ht="15" hidden="false" customHeight="false" outlineLevel="0" collapsed="false">
      <c r="A17" s="8" t="s">
        <v>282</v>
      </c>
      <c r="B17" s="25" t="n">
        <f aca="false">IFERROR(B16/B11,0)</f>
        <v>0.960686773125783</v>
      </c>
      <c r="C17" s="25" t="n">
        <f aca="false">IFERROR(C16/C11,0)</f>
        <v>0.961024533113113</v>
      </c>
      <c r="D17" s="25" t="n">
        <f aca="false">IFERROR(D16/D11,0)</f>
        <v>0.961431251217678</v>
      </c>
      <c r="E17" s="25" t="n">
        <f aca="false">IFERROR(E16/E11,0)</f>
        <v>0.961909321389767</v>
      </c>
      <c r="F17" s="25" t="n">
        <f aca="false">IFERROR(F16/F11,0)</f>
        <v>0.962067301518698</v>
      </c>
      <c r="G17" s="25" t="n">
        <f aca="false">IFERROR(G16/G11,0)</f>
        <v>0.962144033010725</v>
      </c>
      <c r="H17" s="25" t="n">
        <f aca="false">IFERROR(H16/H11,0)</f>
        <v>0.962211667662355</v>
      </c>
      <c r="I17" s="25" t="n">
        <f aca="false">IFERROR(I16/I11,0)</f>
        <v>0.962252220155572</v>
      </c>
      <c r="J17" s="25" t="n">
        <f aca="false">IFERROR(J16/J11,0)</f>
        <v>0.966638142573566</v>
      </c>
      <c r="K17" s="25" t="n">
        <f aca="false">IFERROR(K16/K11,0)</f>
        <v>0.96664496465829</v>
      </c>
      <c r="L17" s="25" t="n">
        <f aca="false">IFERROR(L16/L11,0)</f>
        <v>0.96664833899201</v>
      </c>
      <c r="M17" s="25" t="n">
        <f aca="false">IFERROR(M16/M11,0)</f>
        <v>0.966649338563471</v>
      </c>
      <c r="N17" s="25" t="n">
        <f aca="false">IFERROR(N16/N11,0)</f>
        <v>0.966647728687277</v>
      </c>
      <c r="O17" s="25" t="n">
        <f aca="false">IFERROR(O16/O11,0)</f>
        <v>0.966645628177966</v>
      </c>
      <c r="P17" s="25" t="n">
        <f aca="false">IFERROR(P16/P11,0)</f>
        <v>0.966642984767403</v>
      </c>
      <c r="Q17" s="25" t="n">
        <f aca="false">IFERROR(Q16/Q11,0)</f>
        <v>0.966639825880389</v>
      </c>
      <c r="R17" s="25" t="n">
        <f aca="false">IFERROR(R16/R11,0)</f>
        <v>0.966636207836281</v>
      </c>
      <c r="S17" s="25" t="n">
        <f aca="false">IFERROR(S16/S11,0)</f>
        <v>0.966632193618161</v>
      </c>
      <c r="T17" s="25" t="n">
        <f aca="false">IFERROR(T16/T11,0)</f>
        <v>0.966627843563273</v>
      </c>
      <c r="U17" s="25" t="n">
        <f aca="false">IFERROR(U16/U11,0)</f>
        <v>0.966623211903428</v>
      </c>
      <c r="V17" s="25" t="n">
        <f aca="false">IFERROR(V16/V11,0)</f>
        <v>0.966618345917031</v>
      </c>
      <c r="W17" s="25" t="n">
        <f aca="false">IFERROR(W16/W11,0)</f>
        <v>0.966613286195902</v>
      </c>
      <c r="X17" s="25" t="n">
        <f aca="false">IFERROR(X16/X11,0)</f>
        <v>0.966608067334986</v>
      </c>
      <c r="Y17" s="25" t="n">
        <f aca="false">IFERROR(Y16/Y11,0)</f>
        <v>0.966602718730295</v>
      </c>
    </row>
    <row r="18" customFormat="false" ht="15" hidden="false" customHeight="true" outlineLevel="0" collapsed="false">
      <c r="A18" s="7" t="s">
        <v>283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15" hidden="false" customHeight="false" outlineLevel="0" collapsed="false">
      <c r="A19" s="8" t="s">
        <v>284</v>
      </c>
      <c r="B19" s="32" t="n">
        <f aca="false">Cost_Stack!B6+Cost_Stack!B7+Cost_Stack!B8</f>
        <v>593</v>
      </c>
      <c r="C19" s="32" t="n">
        <f aca="false">Cost_Stack!C6+Cost_Stack!C7+Cost_Stack!C8</f>
        <v>593</v>
      </c>
      <c r="D19" s="32" t="n">
        <f aca="false">Cost_Stack!D6+Cost_Stack!D7+Cost_Stack!D8</f>
        <v>593</v>
      </c>
      <c r="E19" s="32" t="n">
        <f aca="false">Cost_Stack!E6+Cost_Stack!E7+Cost_Stack!E8</f>
        <v>593</v>
      </c>
      <c r="F19" s="32" t="n">
        <f aca="false">Cost_Stack!F6+Cost_Stack!F7+Cost_Stack!F8</f>
        <v>593</v>
      </c>
      <c r="G19" s="32" t="n">
        <f aca="false">Cost_Stack!G6+Cost_Stack!G7+Cost_Stack!G8</f>
        <v>593</v>
      </c>
      <c r="H19" s="32" t="n">
        <f aca="false">Cost_Stack!H6+Cost_Stack!H7+Cost_Stack!H8</f>
        <v>733</v>
      </c>
      <c r="I19" s="32" t="n">
        <f aca="false">Cost_Stack!I6+Cost_Stack!I7+Cost_Stack!I8</f>
        <v>733</v>
      </c>
      <c r="J19" s="32" t="n">
        <f aca="false">Cost_Stack!J6+Cost_Stack!J7+Cost_Stack!J8</f>
        <v>733</v>
      </c>
      <c r="K19" s="32" t="n">
        <f aca="false">Cost_Stack!K6+Cost_Stack!K7+Cost_Stack!K8</f>
        <v>733</v>
      </c>
      <c r="L19" s="32" t="n">
        <f aca="false">Cost_Stack!L6+Cost_Stack!L7+Cost_Stack!L8</f>
        <v>733</v>
      </c>
      <c r="M19" s="32" t="n">
        <f aca="false">Cost_Stack!M6+Cost_Stack!M7+Cost_Stack!M8</f>
        <v>733</v>
      </c>
      <c r="N19" s="32" t="n">
        <f aca="false">Cost_Stack!N6+Cost_Stack!N7+Cost_Stack!N8</f>
        <v>929</v>
      </c>
      <c r="O19" s="32" t="n">
        <f aca="false">Cost_Stack!O6+Cost_Stack!O7+Cost_Stack!O8</f>
        <v>929</v>
      </c>
      <c r="P19" s="32" t="n">
        <f aca="false">Cost_Stack!P6+Cost_Stack!P7+Cost_Stack!P8</f>
        <v>929</v>
      </c>
      <c r="Q19" s="32" t="n">
        <f aca="false">Cost_Stack!Q6+Cost_Stack!Q7+Cost_Stack!Q8</f>
        <v>929</v>
      </c>
      <c r="R19" s="32" t="n">
        <f aca="false">Cost_Stack!R6+Cost_Stack!R7+Cost_Stack!R8</f>
        <v>929</v>
      </c>
      <c r="S19" s="32" t="n">
        <f aca="false">Cost_Stack!S6+Cost_Stack!S7+Cost_Stack!S8</f>
        <v>929</v>
      </c>
      <c r="T19" s="32" t="n">
        <f aca="false">Cost_Stack!T6+Cost_Stack!T7+Cost_Stack!T8</f>
        <v>1203.4</v>
      </c>
      <c r="U19" s="32" t="n">
        <f aca="false">Cost_Stack!U6+Cost_Stack!U7+Cost_Stack!U8</f>
        <v>1203.4</v>
      </c>
      <c r="V19" s="32" t="n">
        <f aca="false">Cost_Stack!V6+Cost_Stack!V7+Cost_Stack!V8</f>
        <v>1203.4</v>
      </c>
      <c r="W19" s="32" t="n">
        <f aca="false">Cost_Stack!W6+Cost_Stack!W7+Cost_Stack!W8</f>
        <v>1203.4</v>
      </c>
      <c r="X19" s="32" t="n">
        <f aca="false">Cost_Stack!X6+Cost_Stack!X7+Cost_Stack!X8</f>
        <v>1203.4</v>
      </c>
      <c r="Y19" s="32" t="n">
        <f aca="false">Cost_Stack!Y6+Cost_Stack!Y7+Cost_Stack!Y8</f>
        <v>1203.4</v>
      </c>
      <c r="Z19" s="20" t="n">
        <f aca="false">SUM(B19:Y19)</f>
        <v>20750.4</v>
      </c>
    </row>
    <row r="20" customFormat="false" ht="15" hidden="false" customHeight="false" outlineLevel="0" collapsed="false">
      <c r="A20" s="8" t="s">
        <v>285</v>
      </c>
      <c r="B20" s="32" t="n">
        <f aca="false">Cost_Stack!B10</f>
        <v>136</v>
      </c>
      <c r="C20" s="32" t="n">
        <f aca="false">Cost_Stack!C10</f>
        <v>136</v>
      </c>
      <c r="D20" s="32" t="n">
        <f aca="false">Cost_Stack!D10</f>
        <v>136</v>
      </c>
      <c r="E20" s="32" t="n">
        <f aca="false">Cost_Stack!E10</f>
        <v>136</v>
      </c>
      <c r="F20" s="32" t="n">
        <f aca="false">Cost_Stack!F10</f>
        <v>136</v>
      </c>
      <c r="G20" s="32" t="n">
        <f aca="false">Cost_Stack!G10</f>
        <v>136</v>
      </c>
      <c r="H20" s="32" t="n">
        <f aca="false">Cost_Stack!H10</f>
        <v>136</v>
      </c>
      <c r="I20" s="32" t="n">
        <f aca="false">Cost_Stack!I10</f>
        <v>136</v>
      </c>
      <c r="J20" s="32" t="n">
        <f aca="false">Cost_Stack!J10</f>
        <v>136</v>
      </c>
      <c r="K20" s="32" t="n">
        <f aca="false">Cost_Stack!K10</f>
        <v>136</v>
      </c>
      <c r="L20" s="32" t="n">
        <f aca="false">Cost_Stack!L10</f>
        <v>136</v>
      </c>
      <c r="M20" s="32" t="n">
        <f aca="false">Cost_Stack!M10</f>
        <v>136</v>
      </c>
      <c r="N20" s="32" t="n">
        <f aca="false">Cost_Stack!N10</f>
        <v>136</v>
      </c>
      <c r="O20" s="32" t="n">
        <f aca="false">Cost_Stack!O10</f>
        <v>136</v>
      </c>
      <c r="P20" s="32" t="n">
        <f aca="false">Cost_Stack!P10</f>
        <v>136</v>
      </c>
      <c r="Q20" s="32" t="n">
        <f aca="false">Cost_Stack!Q10</f>
        <v>136</v>
      </c>
      <c r="R20" s="32" t="n">
        <f aca="false">Cost_Stack!R10</f>
        <v>136</v>
      </c>
      <c r="S20" s="32" t="n">
        <f aca="false">Cost_Stack!S10</f>
        <v>136</v>
      </c>
      <c r="T20" s="32" t="n">
        <f aca="false">Cost_Stack!T10</f>
        <v>136</v>
      </c>
      <c r="U20" s="32" t="n">
        <f aca="false">Cost_Stack!U10</f>
        <v>136</v>
      </c>
      <c r="V20" s="32" t="n">
        <f aca="false">Cost_Stack!V10</f>
        <v>136</v>
      </c>
      <c r="W20" s="32" t="n">
        <f aca="false">Cost_Stack!W10</f>
        <v>136</v>
      </c>
      <c r="X20" s="32" t="n">
        <f aca="false">Cost_Stack!X10</f>
        <v>136</v>
      </c>
      <c r="Y20" s="32" t="n">
        <f aca="false">Cost_Stack!Y10</f>
        <v>136</v>
      </c>
      <c r="Z20" s="20" t="n">
        <f aca="false">SUM(B20:Y20)</f>
        <v>3264</v>
      </c>
    </row>
    <row r="21" customFormat="false" ht="15" hidden="false" customHeight="false" outlineLevel="0" collapsed="false">
      <c r="A21" s="8" t="s">
        <v>286</v>
      </c>
      <c r="B21" s="32" t="n">
        <f aca="false">Cost_Stack!B12+Cost_Stack!B13+Cost_Stack!B14+Cost_Stack!B15+Cost_Stack!B16+Cost_Stack!B17</f>
        <v>546.03369136922</v>
      </c>
      <c r="C21" s="32" t="n">
        <f aca="false">Cost_Stack!C12+Cost_Stack!C13+Cost_Stack!C14+Cost_Stack!C15+Cost_Stack!C16+Cost_Stack!C17</f>
        <v>631.199898881195</v>
      </c>
      <c r="D21" s="32" t="n">
        <f aca="false">Cost_Stack!D12+Cost_Stack!D13+Cost_Stack!D14+Cost_Stack!D15+Cost_Stack!D16+Cost_Stack!D17</f>
        <v>699.615990826228</v>
      </c>
      <c r="E21" s="32" t="n">
        <f aca="false">Cost_Stack!E12+Cost_Stack!E13+Cost_Stack!E14+Cost_Stack!E15+Cost_Stack!E16+Cost_Stack!E17</f>
        <v>803.024806803218</v>
      </c>
      <c r="F21" s="32" t="n">
        <f aca="false">Cost_Stack!F12+Cost_Stack!F13+Cost_Stack!F14+Cost_Stack!F15+Cost_Stack!F16+Cost_Stack!F17</f>
        <v>896.194368461998</v>
      </c>
      <c r="G21" s="32" t="n">
        <f aca="false">Cost_Stack!G12+Cost_Stack!G13+Cost_Stack!G14+Cost_Stack!G15+Cost_Stack!G16+Cost_Stack!G17</f>
        <v>984.952425621457</v>
      </c>
      <c r="H21" s="32" t="n">
        <f aca="false">Cost_Stack!H12+Cost_Stack!H13+Cost_Stack!H14+Cost_Stack!H15+Cost_Stack!H16+Cost_Stack!H17</f>
        <v>1125.10664399166</v>
      </c>
      <c r="I21" s="32" t="n">
        <f aca="false">Cost_Stack!I12+Cost_Stack!I13+Cost_Stack!I14+Cost_Stack!I15+Cost_Stack!I16+Cost_Stack!I17</f>
        <v>1265.36902173801</v>
      </c>
      <c r="J21" s="32" t="n">
        <f aca="false">Cost_Stack!J12+Cost_Stack!J13+Cost_Stack!J14+Cost_Stack!J15+Cost_Stack!J16+Cost_Stack!J17</f>
        <v>1405.22795043501</v>
      </c>
      <c r="K21" s="32" t="n">
        <f aca="false">Cost_Stack!K12+Cost_Stack!K13+Cost_Stack!K14+Cost_Stack!K15+Cost_Stack!K16+Cost_Stack!K17</f>
        <v>1544.45961808617</v>
      </c>
      <c r="L21" s="32" t="n">
        <f aca="false">Cost_Stack!L12+Cost_Stack!L13+Cost_Stack!L14+Cost_Stack!L15+Cost_Stack!L16+Cost_Stack!L17</f>
        <v>1640</v>
      </c>
      <c r="M21" s="32" t="n">
        <f aca="false">Cost_Stack!M12+Cost_Stack!M13+Cost_Stack!M14+Cost_Stack!M15+Cost_Stack!M16+Cost_Stack!M17</f>
        <v>1640</v>
      </c>
      <c r="N21" s="32" t="n">
        <f aca="false">Cost_Stack!N12+Cost_Stack!N13+Cost_Stack!N14+Cost_Stack!N15+Cost_Stack!N16+Cost_Stack!N17</f>
        <v>1640</v>
      </c>
      <c r="O21" s="32" t="n">
        <f aca="false">Cost_Stack!O12+Cost_Stack!O13+Cost_Stack!O14+Cost_Stack!O15+Cost_Stack!O16+Cost_Stack!O17</f>
        <v>1640</v>
      </c>
      <c r="P21" s="32" t="n">
        <f aca="false">Cost_Stack!P12+Cost_Stack!P13+Cost_Stack!P14+Cost_Stack!P15+Cost_Stack!P16+Cost_Stack!P17</f>
        <v>1640</v>
      </c>
      <c r="Q21" s="32" t="n">
        <f aca="false">Cost_Stack!Q12+Cost_Stack!Q13+Cost_Stack!Q14+Cost_Stack!Q15+Cost_Stack!Q16+Cost_Stack!Q17</f>
        <v>1640</v>
      </c>
      <c r="R21" s="32" t="n">
        <f aca="false">Cost_Stack!R12+Cost_Stack!R13+Cost_Stack!R14+Cost_Stack!R15+Cost_Stack!R16+Cost_Stack!R17</f>
        <v>1640</v>
      </c>
      <c r="S21" s="32" t="n">
        <f aca="false">Cost_Stack!S12+Cost_Stack!S13+Cost_Stack!S14+Cost_Stack!S15+Cost_Stack!S16+Cost_Stack!S17</f>
        <v>1640</v>
      </c>
      <c r="T21" s="32" t="n">
        <f aca="false">Cost_Stack!T12+Cost_Stack!T13+Cost_Stack!T14+Cost_Stack!T15+Cost_Stack!T16+Cost_Stack!T17</f>
        <v>1640</v>
      </c>
      <c r="U21" s="32" t="n">
        <f aca="false">Cost_Stack!U12+Cost_Stack!U13+Cost_Stack!U14+Cost_Stack!U15+Cost_Stack!U16+Cost_Stack!U17</f>
        <v>1640</v>
      </c>
      <c r="V21" s="32" t="n">
        <f aca="false">Cost_Stack!V12+Cost_Stack!V13+Cost_Stack!V14+Cost_Stack!V15+Cost_Stack!V16+Cost_Stack!V17</f>
        <v>1640</v>
      </c>
      <c r="W21" s="32" t="n">
        <f aca="false">Cost_Stack!W12+Cost_Stack!W13+Cost_Stack!W14+Cost_Stack!W15+Cost_Stack!W16+Cost_Stack!W17</f>
        <v>1640</v>
      </c>
      <c r="X21" s="32" t="n">
        <f aca="false">Cost_Stack!X12+Cost_Stack!X13+Cost_Stack!X14+Cost_Stack!X15+Cost_Stack!X16+Cost_Stack!X17</f>
        <v>1640</v>
      </c>
      <c r="Y21" s="32" t="n">
        <f aca="false">Cost_Stack!Y12+Cost_Stack!Y13+Cost_Stack!Y14+Cost_Stack!Y15+Cost_Stack!Y16+Cost_Stack!Y17</f>
        <v>1640</v>
      </c>
      <c r="Z21" s="20" t="n">
        <f aca="false">SUM(B21:Y21)</f>
        <v>32861.1844162142</v>
      </c>
    </row>
    <row r="22" customFormat="false" ht="15" hidden="false" customHeight="false" outlineLevel="0" collapsed="false">
      <c r="A22" s="8" t="s">
        <v>287</v>
      </c>
      <c r="B22" s="32" t="n">
        <f aca="false">Cost_Stack!B21+Cost_Stack!B22</f>
        <v>500</v>
      </c>
      <c r="C22" s="32" t="n">
        <f aca="false">Cost_Stack!C21+Cost_Stack!C22</f>
        <v>500</v>
      </c>
      <c r="D22" s="32" t="n">
        <f aca="false">Cost_Stack!D21+Cost_Stack!D22</f>
        <v>500</v>
      </c>
      <c r="E22" s="32" t="n">
        <f aca="false">Cost_Stack!E21+Cost_Stack!E22</f>
        <v>500</v>
      </c>
      <c r="F22" s="32" t="n">
        <f aca="false">Cost_Stack!F21+Cost_Stack!F22</f>
        <v>500</v>
      </c>
      <c r="G22" s="32" t="n">
        <f aca="false">Cost_Stack!G21+Cost_Stack!G22</f>
        <v>500</v>
      </c>
      <c r="H22" s="32" t="n">
        <f aca="false">Cost_Stack!H21+Cost_Stack!H22</f>
        <v>500</v>
      </c>
      <c r="I22" s="32" t="n">
        <f aca="false">Cost_Stack!I21+Cost_Stack!I22</f>
        <v>500</v>
      </c>
      <c r="J22" s="32" t="n">
        <f aca="false">Cost_Stack!J21+Cost_Stack!J22</f>
        <v>500</v>
      </c>
      <c r="K22" s="32" t="n">
        <f aca="false">Cost_Stack!K21+Cost_Stack!K22</f>
        <v>500</v>
      </c>
      <c r="L22" s="32" t="n">
        <f aca="false">Cost_Stack!L21+Cost_Stack!L22</f>
        <v>500</v>
      </c>
      <c r="M22" s="32" t="n">
        <f aca="false">Cost_Stack!M21+Cost_Stack!M22</f>
        <v>500</v>
      </c>
      <c r="N22" s="32" t="n">
        <f aca="false">Cost_Stack!N21+Cost_Stack!N22</f>
        <v>2000</v>
      </c>
      <c r="O22" s="32" t="n">
        <f aca="false">Cost_Stack!O21+Cost_Stack!O22</f>
        <v>2000</v>
      </c>
      <c r="P22" s="32" t="n">
        <f aca="false">Cost_Stack!P21+Cost_Stack!P22</f>
        <v>2000</v>
      </c>
      <c r="Q22" s="32" t="n">
        <f aca="false">Cost_Stack!Q21+Cost_Stack!Q22</f>
        <v>2000</v>
      </c>
      <c r="R22" s="32" t="n">
        <f aca="false">Cost_Stack!R21+Cost_Stack!R22</f>
        <v>2000</v>
      </c>
      <c r="S22" s="32" t="n">
        <f aca="false">Cost_Stack!S21+Cost_Stack!S22</f>
        <v>2000</v>
      </c>
      <c r="T22" s="32" t="n">
        <f aca="false">Cost_Stack!T21+Cost_Stack!T22</f>
        <v>2000</v>
      </c>
      <c r="U22" s="32" t="n">
        <f aca="false">Cost_Stack!U21+Cost_Stack!U22</f>
        <v>2000</v>
      </c>
      <c r="V22" s="32" t="n">
        <f aca="false">Cost_Stack!V21+Cost_Stack!V22</f>
        <v>2000</v>
      </c>
      <c r="W22" s="32" t="n">
        <f aca="false">Cost_Stack!W21+Cost_Stack!W22</f>
        <v>2000</v>
      </c>
      <c r="X22" s="32" t="n">
        <f aca="false">Cost_Stack!X21+Cost_Stack!X22</f>
        <v>2000</v>
      </c>
      <c r="Y22" s="32" t="n">
        <f aca="false">Cost_Stack!Y21+Cost_Stack!Y22</f>
        <v>2000</v>
      </c>
      <c r="Z22" s="20" t="n">
        <f aca="false">SUM(B22:Y22)</f>
        <v>30000</v>
      </c>
    </row>
    <row r="23" customFormat="false" ht="15" hidden="false" customHeight="false" outlineLevel="0" collapsed="false">
      <c r="A23" s="8" t="s">
        <v>288</v>
      </c>
      <c r="B23" s="32" t="n">
        <f aca="false">Cost_Stack!B24+Cost_Stack!B25</f>
        <v>500</v>
      </c>
      <c r="C23" s="32" t="n">
        <f aca="false">Cost_Stack!C24+Cost_Stack!C25</f>
        <v>500</v>
      </c>
      <c r="D23" s="32" t="n">
        <f aca="false">Cost_Stack!D24+Cost_Stack!D25</f>
        <v>500</v>
      </c>
      <c r="E23" s="32" t="n">
        <f aca="false">Cost_Stack!E24+Cost_Stack!E25</f>
        <v>500</v>
      </c>
      <c r="F23" s="32" t="n">
        <f aca="false">Cost_Stack!F24+Cost_Stack!F25</f>
        <v>500</v>
      </c>
      <c r="G23" s="32" t="n">
        <f aca="false">Cost_Stack!G24+Cost_Stack!G25</f>
        <v>500</v>
      </c>
      <c r="H23" s="32" t="n">
        <f aca="false">Cost_Stack!H24+Cost_Stack!H25</f>
        <v>1800</v>
      </c>
      <c r="I23" s="32" t="n">
        <f aca="false">Cost_Stack!I24+Cost_Stack!I25</f>
        <v>1800</v>
      </c>
      <c r="J23" s="32" t="n">
        <f aca="false">Cost_Stack!J24+Cost_Stack!J25</f>
        <v>1800</v>
      </c>
      <c r="K23" s="32" t="n">
        <f aca="false">Cost_Stack!K24+Cost_Stack!K25</f>
        <v>1800</v>
      </c>
      <c r="L23" s="32" t="n">
        <f aca="false">Cost_Stack!L24+Cost_Stack!L25</f>
        <v>1800</v>
      </c>
      <c r="M23" s="32" t="n">
        <f aca="false">Cost_Stack!M24+Cost_Stack!M25</f>
        <v>1800</v>
      </c>
      <c r="N23" s="32" t="n">
        <f aca="false">Cost_Stack!N24+Cost_Stack!N25</f>
        <v>5300</v>
      </c>
      <c r="O23" s="32" t="n">
        <f aca="false">Cost_Stack!O24+Cost_Stack!O25</f>
        <v>5300</v>
      </c>
      <c r="P23" s="32" t="n">
        <f aca="false">Cost_Stack!P24+Cost_Stack!P25</f>
        <v>5300</v>
      </c>
      <c r="Q23" s="32" t="n">
        <f aca="false">Cost_Stack!Q24+Cost_Stack!Q25</f>
        <v>5300</v>
      </c>
      <c r="R23" s="32" t="n">
        <f aca="false">Cost_Stack!R24+Cost_Stack!R25</f>
        <v>5300</v>
      </c>
      <c r="S23" s="32" t="n">
        <f aca="false">Cost_Stack!S24+Cost_Stack!S25</f>
        <v>5300</v>
      </c>
      <c r="T23" s="32" t="n">
        <f aca="false">Cost_Stack!T24+Cost_Stack!T25</f>
        <v>5300</v>
      </c>
      <c r="U23" s="32" t="n">
        <f aca="false">Cost_Stack!U24+Cost_Stack!U25</f>
        <v>5300</v>
      </c>
      <c r="V23" s="32" t="n">
        <f aca="false">Cost_Stack!V24+Cost_Stack!V25</f>
        <v>5300</v>
      </c>
      <c r="W23" s="32" t="n">
        <f aca="false">Cost_Stack!W24+Cost_Stack!W25</f>
        <v>5300</v>
      </c>
      <c r="X23" s="32" t="n">
        <f aca="false">Cost_Stack!X24+Cost_Stack!X25</f>
        <v>5300</v>
      </c>
      <c r="Y23" s="32" t="n">
        <f aca="false">Cost_Stack!Y24+Cost_Stack!Y25</f>
        <v>5300</v>
      </c>
      <c r="Z23" s="20" t="n">
        <f aca="false">SUM(B23:Y23)</f>
        <v>77400</v>
      </c>
    </row>
    <row r="24" customFormat="false" ht="15" hidden="false" customHeight="false" outlineLevel="0" collapsed="false">
      <c r="A24" s="31" t="s">
        <v>289</v>
      </c>
      <c r="B24" s="22" t="n">
        <f aca="false">B19+B20+B21+B22+B23</f>
        <v>2275.03369136922</v>
      </c>
      <c r="C24" s="22" t="n">
        <f aca="false">C19+C20+C21+C22+C23</f>
        <v>2360.1998988812</v>
      </c>
      <c r="D24" s="22" t="n">
        <f aca="false">D19+D20+D21+D22+D23</f>
        <v>2428.61599082623</v>
      </c>
      <c r="E24" s="22" t="n">
        <f aca="false">E19+E20+E21+E22+E23</f>
        <v>2532.02480680322</v>
      </c>
      <c r="F24" s="22" t="n">
        <f aca="false">F19+F20+F21+F22+F23</f>
        <v>2625.194368462</v>
      </c>
      <c r="G24" s="22" t="n">
        <f aca="false">G19+G20+G21+G22+G23</f>
        <v>2713.95242562146</v>
      </c>
      <c r="H24" s="22" t="n">
        <f aca="false">H19+H20+H21+H22+H23</f>
        <v>4294.10664399166</v>
      </c>
      <c r="I24" s="22" t="n">
        <f aca="false">I19+I20+I21+I22+I23</f>
        <v>4434.36902173801</v>
      </c>
      <c r="J24" s="22" t="n">
        <f aca="false">J19+J20+J21+J22+J23</f>
        <v>4574.22795043501</v>
      </c>
      <c r="K24" s="22" t="n">
        <f aca="false">K19+K20+K21+K22+K23</f>
        <v>4713.45961808616</v>
      </c>
      <c r="L24" s="22" t="n">
        <f aca="false">L19+L20+L21+L22+L23</f>
        <v>4809</v>
      </c>
      <c r="M24" s="22" t="n">
        <f aca="false">M19+M20+M21+M22+M23</f>
        <v>4809</v>
      </c>
      <c r="N24" s="22" t="n">
        <f aca="false">N19+N20+N21+N22+N23</f>
        <v>10005</v>
      </c>
      <c r="O24" s="22" t="n">
        <f aca="false">O19+O20+O21+O22+O23</f>
        <v>10005</v>
      </c>
      <c r="P24" s="22" t="n">
        <f aca="false">P19+P20+P21+P22+P23</f>
        <v>10005</v>
      </c>
      <c r="Q24" s="22" t="n">
        <f aca="false">Q19+Q20+Q21+Q22+Q23</f>
        <v>10005</v>
      </c>
      <c r="R24" s="22" t="n">
        <f aca="false">R19+R20+R21+R22+R23</f>
        <v>10005</v>
      </c>
      <c r="S24" s="22" t="n">
        <f aca="false">S19+S20+S21+S22+S23</f>
        <v>10005</v>
      </c>
      <c r="T24" s="22" t="n">
        <f aca="false">T19+T20+T21+T22+T23</f>
        <v>10279.4</v>
      </c>
      <c r="U24" s="22" t="n">
        <f aca="false">U19+U20+U21+U22+U23</f>
        <v>10279.4</v>
      </c>
      <c r="V24" s="22" t="n">
        <f aca="false">V19+V20+V21+V22+V23</f>
        <v>10279.4</v>
      </c>
      <c r="W24" s="22" t="n">
        <f aca="false">W19+W20+W21+W22+W23</f>
        <v>10279.4</v>
      </c>
      <c r="X24" s="22" t="n">
        <f aca="false">X19+X20+X21+X22+X23</f>
        <v>10279.4</v>
      </c>
      <c r="Y24" s="22" t="n">
        <f aca="false">Y19+Y20+Y21+Y22+Y23</f>
        <v>10279.4</v>
      </c>
      <c r="Z24" s="22" t="n">
        <f aca="false">SUM(B24:Y24)</f>
        <v>164275.584416214</v>
      </c>
    </row>
    <row r="25" customFormat="false" ht="15" hidden="false" customHeight="false" outlineLevel="0" collapsed="false">
      <c r="A25" s="31" t="s">
        <v>290</v>
      </c>
      <c r="B25" s="22" t="n">
        <f aca="false">B16-B24</f>
        <v>-1587.76605936922</v>
      </c>
      <c r="C25" s="22" t="n">
        <f aca="false">C16-C24</f>
        <v>1333.3623473948</v>
      </c>
      <c r="D25" s="22" t="n">
        <f aca="false">D16-D24</f>
        <v>6529.40886423383</v>
      </c>
      <c r="E25" s="22" t="n">
        <f aca="false">E16-E24</f>
        <v>19671.2146498886</v>
      </c>
      <c r="F25" s="22" t="n">
        <f aca="false">F16-F24</f>
        <v>36555.4133471204</v>
      </c>
      <c r="G25" s="22" t="n">
        <f aca="false">G16-G24</f>
        <v>57074.9702201203</v>
      </c>
      <c r="H25" s="22" t="n">
        <f aca="false">H16-H24</f>
        <v>96881.7454889334</v>
      </c>
      <c r="I25" s="22" t="n">
        <f aca="false">I16-I24</f>
        <v>149043.219682359</v>
      </c>
      <c r="J25" s="22" t="n">
        <f aca="false">J16-J24</f>
        <v>212805.070338226</v>
      </c>
      <c r="K25" s="22" t="n">
        <f aca="false">K16-K24</f>
        <v>286249.672196813</v>
      </c>
      <c r="L25" s="22" t="n">
        <f aca="false">L16-L24</f>
        <v>369840.078352501</v>
      </c>
      <c r="M25" s="22" t="n">
        <f aca="false">M16-M24</f>
        <v>463359.513349559</v>
      </c>
      <c r="N25" s="22" t="n">
        <f aca="false">N16-N24</f>
        <v>563561.050108083</v>
      </c>
      <c r="O25" s="22" t="n">
        <f aca="false">O16-O24</f>
        <v>680522.264800011</v>
      </c>
      <c r="P25" s="22" t="n">
        <f aca="false">P16-P24</f>
        <v>808741.984963024</v>
      </c>
      <c r="Q25" s="22" t="n">
        <f aca="false">Q16-Q24</f>
        <v>947924.824345553</v>
      </c>
      <c r="R25" s="22" t="n">
        <f aca="false">R16-R24</f>
        <v>1097784.81699965</v>
      </c>
      <c r="S25" s="22" t="n">
        <f aca="false">S16-S24</f>
        <v>1258045.06657867</v>
      </c>
      <c r="T25" s="22" t="n">
        <f aca="false">T16-T24</f>
        <v>1428163.010163</v>
      </c>
      <c r="U25" s="22" t="n">
        <f aca="false">U16-U24</f>
        <v>1608427.69596867</v>
      </c>
      <c r="V25" s="22" t="n">
        <f aca="false">V16-V24</f>
        <v>1798313.07432361</v>
      </c>
      <c r="W25" s="22" t="n">
        <f aca="false">W16-W24</f>
        <v>1997575.3013247</v>
      </c>
      <c r="X25" s="22" t="n">
        <f aca="false">X16-X24</f>
        <v>2205978.0546161</v>
      </c>
      <c r="Y25" s="22" t="n">
        <f aca="false">Y16-Y24</f>
        <v>2423292.26075528</v>
      </c>
      <c r="Z25" s="22" t="n">
        <f aca="false">SUM(B25:Y25)</f>
        <v>18516085.3077241</v>
      </c>
    </row>
    <row r="26" customFormat="false" ht="15" hidden="false" customHeight="false" outlineLevel="0" collapsed="false">
      <c r="A26" s="8" t="s">
        <v>291</v>
      </c>
      <c r="B26" s="19" t="n">
        <f aca="false">MAX(0,B25)*Assumptions!$B$81</f>
        <v>0</v>
      </c>
      <c r="C26" s="19" t="n">
        <f aca="false">MAX(0,C25)*Assumptions!$B$81</f>
        <v>280.006092952909</v>
      </c>
      <c r="D26" s="19" t="n">
        <f aca="false">MAX(0,D25)*Assumptions!$B$81</f>
        <v>1371.1758614891</v>
      </c>
      <c r="E26" s="19" t="n">
        <f aca="false">MAX(0,E25)*Assumptions!$B$81</f>
        <v>4130.9550764766</v>
      </c>
      <c r="F26" s="19" t="n">
        <f aca="false">MAX(0,F25)*Assumptions!$B$81</f>
        <v>7676.63680289528</v>
      </c>
      <c r="G26" s="19" t="n">
        <f aca="false">MAX(0,G25)*Assumptions!$B$81</f>
        <v>11985.7437462253</v>
      </c>
      <c r="H26" s="19" t="n">
        <f aca="false">MAX(0,H25)*Assumptions!$B$81</f>
        <v>20345.166552676</v>
      </c>
      <c r="I26" s="19" t="n">
        <f aca="false">MAX(0,I25)*Assumptions!$B$81</f>
        <v>31299.0761332954</v>
      </c>
      <c r="J26" s="19" t="n">
        <f aca="false">MAX(0,J25)*Assumptions!$B$81</f>
        <v>44689.0647710274</v>
      </c>
      <c r="K26" s="19" t="n">
        <f aca="false">MAX(0,K25)*Assumptions!$B$81</f>
        <v>60112.4311613308</v>
      </c>
      <c r="L26" s="19" t="n">
        <f aca="false">MAX(0,L25)*Assumptions!$B$81</f>
        <v>77666.4164540251</v>
      </c>
      <c r="M26" s="19" t="n">
        <f aca="false">MAX(0,M25)*Assumptions!$B$81</f>
        <v>97305.4978034073</v>
      </c>
      <c r="N26" s="19" t="n">
        <f aca="false">MAX(0,N25)*Assumptions!$B$81</f>
        <v>118347.820522697</v>
      </c>
      <c r="O26" s="19" t="n">
        <f aca="false">MAX(0,O25)*Assumptions!$B$81</f>
        <v>142909.675608002</v>
      </c>
      <c r="P26" s="19" t="n">
        <f aca="false">MAX(0,P25)*Assumptions!$B$81</f>
        <v>169835.816842235</v>
      </c>
      <c r="Q26" s="19" t="n">
        <f aca="false">MAX(0,Q25)*Assumptions!$B$81</f>
        <v>199064.213112566</v>
      </c>
      <c r="R26" s="19" t="n">
        <f aca="false">MAX(0,R25)*Assumptions!$B$81</f>
        <v>230534.811569928</v>
      </c>
      <c r="S26" s="19" t="n">
        <f aca="false">MAX(0,S25)*Assumptions!$B$81</f>
        <v>264189.463981522</v>
      </c>
      <c r="T26" s="19" t="n">
        <f aca="false">MAX(0,T25)*Assumptions!$B$81</f>
        <v>299914.23213423</v>
      </c>
      <c r="U26" s="19" t="n">
        <f aca="false">MAX(0,U25)*Assumptions!$B$81</f>
        <v>337769.816153421</v>
      </c>
      <c r="V26" s="19" t="n">
        <f aca="false">MAX(0,V25)*Assumptions!$B$81</f>
        <v>377645.745607959</v>
      </c>
      <c r="W26" s="19" t="n">
        <f aca="false">MAX(0,W25)*Assumptions!$B$81</f>
        <v>419490.813278187</v>
      </c>
      <c r="X26" s="19" t="n">
        <f aca="false">MAX(0,X25)*Assumptions!$B$81</f>
        <v>463255.391469381</v>
      </c>
      <c r="Y26" s="19" t="n">
        <f aca="false">MAX(0,Y25)*Assumptions!$B$81</f>
        <v>508891.374758609</v>
      </c>
      <c r="Z26" s="20" t="n">
        <f aca="false">SUM(B26:Y26)</f>
        <v>3888711.34549454</v>
      </c>
    </row>
    <row r="27" customFormat="false" ht="15" hidden="false" customHeight="false" outlineLevel="0" collapsed="false">
      <c r="A27" s="31" t="s">
        <v>292</v>
      </c>
      <c r="B27" s="22" t="n">
        <f aca="false">B25-B26</f>
        <v>-1587.76605936922</v>
      </c>
      <c r="C27" s="22" t="n">
        <f aca="false">C25-C26</f>
        <v>1053.3562544419</v>
      </c>
      <c r="D27" s="22" t="n">
        <f aca="false">D25-D26</f>
        <v>5158.23300274472</v>
      </c>
      <c r="E27" s="22" t="n">
        <f aca="false">E25-E26</f>
        <v>15540.259573412</v>
      </c>
      <c r="F27" s="22" t="n">
        <f aca="false">F25-F26</f>
        <v>28878.7765442251</v>
      </c>
      <c r="G27" s="22" t="n">
        <f aca="false">G25-G26</f>
        <v>45089.226473895</v>
      </c>
      <c r="H27" s="22" t="n">
        <f aca="false">H25-H26</f>
        <v>76536.5789362573</v>
      </c>
      <c r="I27" s="22" t="n">
        <f aca="false">I25-I26</f>
        <v>117744.143549064</v>
      </c>
      <c r="J27" s="22" t="n">
        <f aca="false">J25-J26</f>
        <v>168116.005567198</v>
      </c>
      <c r="K27" s="22" t="n">
        <f aca="false">K25-K26</f>
        <v>226137.241035482</v>
      </c>
      <c r="L27" s="22" t="n">
        <f aca="false">L25-L26</f>
        <v>292173.661898475</v>
      </c>
      <c r="M27" s="22" t="n">
        <f aca="false">M25-M26</f>
        <v>366054.015546151</v>
      </c>
      <c r="N27" s="22" t="n">
        <f aca="false">N25-N26</f>
        <v>445213.229585386</v>
      </c>
      <c r="O27" s="22" t="n">
        <f aca="false">O25-O26</f>
        <v>537612.589192009</v>
      </c>
      <c r="P27" s="22" t="n">
        <f aca="false">P25-P26</f>
        <v>638906.168120789</v>
      </c>
      <c r="Q27" s="22" t="n">
        <f aca="false">Q25-Q26</f>
        <v>748860.611232986</v>
      </c>
      <c r="R27" s="22" t="n">
        <f aca="false">R25-R26</f>
        <v>867250.005429727</v>
      </c>
      <c r="S27" s="22" t="n">
        <f aca="false">S25-S26</f>
        <v>993855.602597153</v>
      </c>
      <c r="T27" s="22" t="n">
        <f aca="false">T25-T26</f>
        <v>1128248.77802877</v>
      </c>
      <c r="U27" s="22" t="n">
        <f aca="false">U25-U26</f>
        <v>1270657.87981525</v>
      </c>
      <c r="V27" s="22" t="n">
        <f aca="false">V25-V26</f>
        <v>1420667.32871566</v>
      </c>
      <c r="W27" s="22" t="n">
        <f aca="false">W25-W26</f>
        <v>1578084.48804651</v>
      </c>
      <c r="X27" s="22" t="n">
        <f aca="false">X25-X26</f>
        <v>1742722.66314672</v>
      </c>
      <c r="Y27" s="22" t="n">
        <f aca="false">Y25-Y26</f>
        <v>1914400.88599667</v>
      </c>
      <c r="Z27" s="22" t="n">
        <f aca="false">SUM(B27:Y27)</f>
        <v>14627373.9622296</v>
      </c>
    </row>
  </sheetData>
  <mergeCells count="3">
    <mergeCell ref="A5:Z5"/>
    <mergeCell ref="A12:Z12"/>
    <mergeCell ref="A18:Z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5" min="2" style="1" width="12"/>
    <col collapsed="false" customWidth="true" hidden="false" outlineLevel="0" max="26" min="26" style="1" width="14"/>
  </cols>
  <sheetData>
    <row r="1" customFormat="false" ht="17.35" hidden="false" customHeight="false" outlineLevel="0" collapsed="false">
      <c r="A1" s="2" t="s">
        <v>293</v>
      </c>
    </row>
    <row r="2" customFormat="false" ht="15" hidden="false" customHeight="false" outlineLevel="0" collapsed="false">
      <c r="A2" s="3" t="s">
        <v>294</v>
      </c>
    </row>
    <row r="4" customFormat="false" ht="15" hidden="false" customHeight="false" outlineLevel="0" collapsed="false">
      <c r="A4" s="6" t="s">
        <v>269</v>
      </c>
      <c r="B4" s="6" t="s">
        <v>169</v>
      </c>
      <c r="C4" s="6" t="s">
        <v>170</v>
      </c>
      <c r="D4" s="6" t="s">
        <v>171</v>
      </c>
      <c r="E4" s="6" t="s">
        <v>172</v>
      </c>
      <c r="F4" s="6" t="s">
        <v>173</v>
      </c>
      <c r="G4" s="6" t="s">
        <v>174</v>
      </c>
      <c r="H4" s="6" t="s">
        <v>175</v>
      </c>
      <c r="I4" s="6" t="s">
        <v>176</v>
      </c>
      <c r="J4" s="6" t="s">
        <v>177</v>
      </c>
      <c r="K4" s="6" t="s">
        <v>178</v>
      </c>
      <c r="L4" s="6" t="s">
        <v>179</v>
      </c>
      <c r="M4" s="6" t="s">
        <v>180</v>
      </c>
      <c r="N4" s="6" t="s">
        <v>181</v>
      </c>
      <c r="O4" s="6" t="s">
        <v>182</v>
      </c>
      <c r="P4" s="6" t="s">
        <v>183</v>
      </c>
      <c r="Q4" s="6" t="s">
        <v>184</v>
      </c>
      <c r="R4" s="6" t="s">
        <v>185</v>
      </c>
      <c r="S4" s="6" t="s">
        <v>186</v>
      </c>
      <c r="T4" s="6" t="s">
        <v>187</v>
      </c>
      <c r="U4" s="6" t="s">
        <v>188</v>
      </c>
      <c r="V4" s="6" t="s">
        <v>189</v>
      </c>
      <c r="W4" s="6" t="s">
        <v>190</v>
      </c>
      <c r="X4" s="6" t="s">
        <v>191</v>
      </c>
      <c r="Y4" s="6" t="s">
        <v>192</v>
      </c>
      <c r="Z4" s="6" t="s">
        <v>193</v>
      </c>
    </row>
    <row r="5" customFormat="false" ht="15" hidden="false" customHeight="false" outlineLevel="0" collapsed="false">
      <c r="A5" s="8" t="s">
        <v>295</v>
      </c>
      <c r="B5" s="32" t="n">
        <f aca="false">PnL_24mo!B27</f>
        <v>-1587.76605936922</v>
      </c>
      <c r="C5" s="32" t="n">
        <f aca="false">PnL_24mo!C27</f>
        <v>1053.3562544419</v>
      </c>
      <c r="D5" s="32" t="n">
        <f aca="false">PnL_24mo!D27</f>
        <v>5158.23300274472</v>
      </c>
      <c r="E5" s="32" t="n">
        <f aca="false">PnL_24mo!E27</f>
        <v>15540.259573412</v>
      </c>
      <c r="F5" s="32" t="n">
        <f aca="false">PnL_24mo!F27</f>
        <v>28878.7765442251</v>
      </c>
      <c r="G5" s="32" t="n">
        <f aca="false">PnL_24mo!G27</f>
        <v>45089.226473895</v>
      </c>
      <c r="H5" s="32" t="n">
        <f aca="false">PnL_24mo!H27</f>
        <v>76536.5789362573</v>
      </c>
      <c r="I5" s="32" t="n">
        <f aca="false">PnL_24mo!I27</f>
        <v>117744.143549064</v>
      </c>
      <c r="J5" s="32" t="n">
        <f aca="false">PnL_24mo!J27</f>
        <v>168116.005567198</v>
      </c>
      <c r="K5" s="32" t="n">
        <f aca="false">PnL_24mo!K27</f>
        <v>226137.241035482</v>
      </c>
      <c r="L5" s="32" t="n">
        <f aca="false">PnL_24mo!L27</f>
        <v>292173.661898475</v>
      </c>
      <c r="M5" s="32" t="n">
        <f aca="false">PnL_24mo!M27</f>
        <v>366054.015546151</v>
      </c>
      <c r="N5" s="32" t="n">
        <f aca="false">PnL_24mo!N27</f>
        <v>445213.229585386</v>
      </c>
      <c r="O5" s="32" t="n">
        <f aca="false">PnL_24mo!O27</f>
        <v>537612.589192009</v>
      </c>
      <c r="P5" s="32" t="n">
        <f aca="false">PnL_24mo!P27</f>
        <v>638906.168120789</v>
      </c>
      <c r="Q5" s="32" t="n">
        <f aca="false">PnL_24mo!Q27</f>
        <v>748860.611232986</v>
      </c>
      <c r="R5" s="32" t="n">
        <f aca="false">PnL_24mo!R27</f>
        <v>867250.005429727</v>
      </c>
      <c r="S5" s="32" t="n">
        <f aca="false">PnL_24mo!S27</f>
        <v>993855.602597153</v>
      </c>
      <c r="T5" s="32" t="n">
        <f aca="false">PnL_24mo!T27</f>
        <v>1128248.77802877</v>
      </c>
      <c r="U5" s="32" t="n">
        <f aca="false">PnL_24mo!U27</f>
        <v>1270657.87981525</v>
      </c>
      <c r="V5" s="32" t="n">
        <f aca="false">PnL_24mo!V27</f>
        <v>1420667.32871566</v>
      </c>
      <c r="W5" s="32" t="n">
        <f aca="false">PnL_24mo!W27</f>
        <v>1578084.48804651</v>
      </c>
      <c r="X5" s="32" t="n">
        <f aca="false">PnL_24mo!X27</f>
        <v>1742722.66314672</v>
      </c>
      <c r="Y5" s="32" t="n">
        <f aca="false">PnL_24mo!Y27</f>
        <v>1914400.88599667</v>
      </c>
      <c r="Z5" s="20" t="n">
        <f aca="false">SUM(B5:Y5)</f>
        <v>14627373.9622296</v>
      </c>
    </row>
    <row r="6" customFormat="false" ht="15" hidden="false" customHeight="false" outlineLevel="0" collapsed="false">
      <c r="A6" s="8" t="s">
        <v>296</v>
      </c>
      <c r="B6" s="19" t="n">
        <f aca="false">-PnL_24mo!B11*Assumptions!$B$83</f>
        <v>-35.7696</v>
      </c>
      <c r="C6" s="19" t="n">
        <f aca="false">-PnL_24mo!C11*Assumptions!$B$83</f>
        <v>-192.1679478</v>
      </c>
      <c r="D6" s="19" t="n">
        <f aca="false">-PnL_24mo!D11*Assumptions!$B$83</f>
        <v>-465.869236293</v>
      </c>
      <c r="E6" s="19" t="n">
        <f aca="false">-PnL_24mo!E11*Assumptions!$B$83</f>
        <v>-1154.1233130277</v>
      </c>
      <c r="F6" s="19" t="n">
        <f aca="false">-PnL_24mo!F11*Assumptions!$B$83</f>
        <v>-2036.2716648686</v>
      </c>
      <c r="G6" s="19" t="n">
        <f aca="false">-PnL_24mo!G11*Assumptions!$B$83</f>
        <v>-3107.06716429199</v>
      </c>
      <c r="H6" s="19" t="n">
        <f aca="false">-PnL_24mo!H11*Assumptions!$B$83</f>
        <v>-5257.46338010673</v>
      </c>
      <c r="I6" s="19" t="n">
        <f aca="false">-PnL_24mo!I11*Assumptions!$B$83</f>
        <v>-7974.91476191573</v>
      </c>
      <c r="J6" s="19" t="n">
        <f aca="false">-PnL_24mo!J11*Assumptions!$B$83</f>
        <v>-11244.0885950306</v>
      </c>
      <c r="K6" s="19" t="n">
        <f aca="false">-PnL_24mo!K11*Assumptions!$B$83</f>
        <v>-15050.1550441405</v>
      </c>
      <c r="L6" s="19" t="n">
        <f aca="false">-PnL_24mo!L11*Assumptions!$B$83</f>
        <v>-19378.7680193592</v>
      </c>
      <c r="M6" s="19" t="n">
        <f aca="false">-PnL_24mo!M11*Assumptions!$B$83</f>
        <v>-24216.0468472104</v>
      </c>
      <c r="N6" s="19" t="n">
        <f aca="false">-PnL_24mo!N11*Assumptions!$B$83</f>
        <v>-29667.7907104274</v>
      </c>
      <c r="O6" s="19" t="n">
        <f aca="false">-PnL_24mo!O11*Assumptions!$B$83</f>
        <v>-35717.7048481349</v>
      </c>
      <c r="P6" s="19" t="n">
        <f aca="false">-PnL_24mo!P11*Assumptions!$B$83</f>
        <v>-42350.0194934966</v>
      </c>
      <c r="Q6" s="19" t="n">
        <f aca="false">-PnL_24mo!Q11*Assumptions!$B$83</f>
        <v>-49549.4701696724</v>
      </c>
      <c r="R6" s="19" t="n">
        <f aca="false">-PnL_24mo!R11*Assumptions!$B$83</f>
        <v>-57301.2788068084</v>
      </c>
      <c r="S6" s="19" t="n">
        <f aca="false">-PnL_24mo!S11*Assumptions!$B$83</f>
        <v>-65591.1356434493</v>
      </c>
      <c r="T6" s="19" t="n">
        <f aca="false">-PnL_24mo!T11*Assumptions!$B$83</f>
        <v>-74405.1818774679</v>
      </c>
      <c r="U6" s="19" t="n">
        <f aca="false">-PnL_24mo!U11*Assumptions!$B$83</f>
        <v>-83729.9930332312</v>
      </c>
      <c r="V6" s="19" t="n">
        <f aca="false">-PnL_24mo!V11*Assumptions!$B$83</f>
        <v>-93552.5630132647</v>
      </c>
      <c r="W6" s="19" t="n">
        <f aca="false">-PnL_24mo!W11*Assumptions!$B$83</f>
        <v>-103860.28880415</v>
      </c>
      <c r="X6" s="19" t="n">
        <f aca="false">-PnL_24mo!X11*Assumptions!$B$83</f>
        <v>-114640.955807792</v>
      </c>
      <c r="Y6" s="19" t="n">
        <f aca="false">-PnL_24mo!Y11*Assumptions!$B$83</f>
        <v>-125882.723770525</v>
      </c>
      <c r="Z6" s="20" t="n">
        <f aca="false">SUM(B6:Y6)</f>
        <v>-966361.811552464</v>
      </c>
    </row>
    <row r="7" customFormat="false" ht="15" hidden="false" customHeight="false" outlineLevel="0" collapsed="false">
      <c r="A7" s="31" t="s">
        <v>297</v>
      </c>
      <c r="B7" s="22" t="n">
        <f aca="false">B5+B6</f>
        <v>-1623.53565936922</v>
      </c>
      <c r="C7" s="22" t="n">
        <f aca="false">C5+C6</f>
        <v>861.188306641896</v>
      </c>
      <c r="D7" s="22" t="n">
        <f aca="false">D5+D6</f>
        <v>4692.36376645173</v>
      </c>
      <c r="E7" s="22" t="n">
        <f aca="false">E5+E6</f>
        <v>14386.1362603843</v>
      </c>
      <c r="F7" s="22" t="n">
        <f aca="false">F5+F6</f>
        <v>26842.5048793565</v>
      </c>
      <c r="G7" s="22" t="n">
        <f aca="false">G5+G6</f>
        <v>41982.159309603</v>
      </c>
      <c r="H7" s="22" t="n">
        <f aca="false">H5+H6</f>
        <v>71279.1155561506</v>
      </c>
      <c r="I7" s="22" t="n">
        <f aca="false">I5+I6</f>
        <v>109769.228787148</v>
      </c>
      <c r="J7" s="22" t="n">
        <f aca="false">J5+J6</f>
        <v>156871.916972168</v>
      </c>
      <c r="K7" s="22" t="n">
        <f aca="false">K5+K6</f>
        <v>211087.085991342</v>
      </c>
      <c r="L7" s="22" t="n">
        <f aca="false">L5+L6</f>
        <v>272794.893879116</v>
      </c>
      <c r="M7" s="22" t="n">
        <f aca="false">M5+M6</f>
        <v>341837.968698941</v>
      </c>
      <c r="N7" s="22" t="n">
        <f aca="false">N5+N6</f>
        <v>415545.438874958</v>
      </c>
      <c r="O7" s="22" t="n">
        <f aca="false">O5+O6</f>
        <v>501894.884343874</v>
      </c>
      <c r="P7" s="22" t="n">
        <f aca="false">P5+P6</f>
        <v>596556.148627292</v>
      </c>
      <c r="Q7" s="22" t="n">
        <f aca="false">Q5+Q6</f>
        <v>699311.141063314</v>
      </c>
      <c r="R7" s="22" t="n">
        <f aca="false">R5+R6</f>
        <v>809948.726622919</v>
      </c>
      <c r="S7" s="22" t="n">
        <f aca="false">S5+S6</f>
        <v>928264.466953704</v>
      </c>
      <c r="T7" s="22" t="n">
        <f aca="false">T5+T6</f>
        <v>1053843.5961513</v>
      </c>
      <c r="U7" s="22" t="n">
        <f aca="false">U5+U6</f>
        <v>1186927.88678202</v>
      </c>
      <c r="V7" s="22" t="n">
        <f aca="false">V5+V6</f>
        <v>1327114.76570239</v>
      </c>
      <c r="W7" s="22" t="n">
        <f aca="false">W5+W6</f>
        <v>1474224.19924236</v>
      </c>
      <c r="X7" s="22" t="n">
        <f aca="false">X5+X6</f>
        <v>1628081.70733893</v>
      </c>
      <c r="Y7" s="22" t="n">
        <f aca="false">Y5+Y6</f>
        <v>1788518.16222615</v>
      </c>
      <c r="Z7" s="22" t="n">
        <f aca="false">SUM(B7:Y7)</f>
        <v>13661012.1506771</v>
      </c>
    </row>
    <row r="8" customFormat="false" ht="15" hidden="false" customHeight="false" outlineLevel="0" collapsed="false">
      <c r="A8" s="31" t="s">
        <v>298</v>
      </c>
      <c r="B8" s="22" t="n">
        <f aca="false">B7</f>
        <v>-1623.53565936922</v>
      </c>
      <c r="C8" s="22" t="n">
        <f aca="false">B8+C7</f>
        <v>-762.347352727325</v>
      </c>
      <c r="D8" s="22" t="n">
        <f aca="false">C8+D7</f>
        <v>3930.0164137244</v>
      </c>
      <c r="E8" s="22" t="n">
        <f aca="false">D8+E7</f>
        <v>18316.1526741087</v>
      </c>
      <c r="F8" s="22" t="n">
        <f aca="false">E8+F7</f>
        <v>45158.6575534652</v>
      </c>
      <c r="G8" s="22" t="n">
        <f aca="false">F8+G7</f>
        <v>87140.8168630682</v>
      </c>
      <c r="H8" s="22" t="n">
        <f aca="false">G8+H7</f>
        <v>158419.932419219</v>
      </c>
      <c r="I8" s="22" t="n">
        <f aca="false">H8+I7</f>
        <v>268189.161206367</v>
      </c>
      <c r="J8" s="22" t="n">
        <f aca="false">I8+J7</f>
        <v>425061.078178535</v>
      </c>
      <c r="K8" s="22" t="n">
        <f aca="false">J8+K7</f>
        <v>636148.164169877</v>
      </c>
      <c r="L8" s="22" t="n">
        <f aca="false">K8+L7</f>
        <v>908943.058048993</v>
      </c>
      <c r="M8" s="22" t="n">
        <f aca="false">L8+M7</f>
        <v>1250781.02674793</v>
      </c>
      <c r="N8" s="22" t="n">
        <f aca="false">M8+N7</f>
        <v>1666326.46562289</v>
      </c>
      <c r="O8" s="22" t="n">
        <f aca="false">N8+O7</f>
        <v>2168221.34996677</v>
      </c>
      <c r="P8" s="22" t="n">
        <f aca="false">O8+P7</f>
        <v>2764777.49859406</v>
      </c>
      <c r="Q8" s="22" t="n">
        <f aca="false">P8+Q7</f>
        <v>3464088.63965737</v>
      </c>
      <c r="R8" s="22" t="n">
        <f aca="false">Q8+R7</f>
        <v>4274037.36628029</v>
      </c>
      <c r="S8" s="22" t="n">
        <f aca="false">R8+S7</f>
        <v>5202301.833234</v>
      </c>
      <c r="T8" s="22" t="n">
        <f aca="false">S8+T7</f>
        <v>6256145.4293853</v>
      </c>
      <c r="U8" s="22" t="n">
        <f aca="false">T8+U7</f>
        <v>7443073.31616732</v>
      </c>
      <c r="V8" s="22" t="n">
        <f aca="false">U8+V7</f>
        <v>8770188.08186971</v>
      </c>
      <c r="W8" s="22" t="n">
        <f aca="false">V8+W7</f>
        <v>10244412.2811121</v>
      </c>
      <c r="X8" s="22" t="n">
        <f aca="false">W8+X7</f>
        <v>11872493.988451</v>
      </c>
      <c r="Y8" s="22" t="n">
        <f aca="false">X8+Y7</f>
        <v>13661012.1506771</v>
      </c>
    </row>
    <row r="10" customFormat="false" ht="15" hidden="false" customHeight="false" outlineLevel="0" collapsed="false">
      <c r="A10" s="8" t="s">
        <v>299</v>
      </c>
      <c r="B10" s="23" t="n">
        <f aca="false">MATCH(MIN(B8:Y8),B8:Y8,0)</f>
        <v>1</v>
      </c>
    </row>
    <row r="11" customFormat="false" ht="15" hidden="false" customHeight="false" outlineLevel="0" collapsed="false">
      <c r="A11" s="8" t="s">
        <v>300</v>
      </c>
      <c r="B11" s="19" t="n">
        <f aca="false">MIN(B8:Y8)</f>
        <v>-1623.53565936922</v>
      </c>
    </row>
    <row r="12" customFormat="false" ht="15" hidden="false" customHeight="false" outlineLevel="0" collapsed="false">
      <c r="A12" s="8" t="s">
        <v>301</v>
      </c>
      <c r="B12" s="23" t="n">
        <f aca="false">MATCH(TRUE(),INDEX(B7:Y7&gt;0,0),0)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6"/>
    <col collapsed="false" customWidth="true" hidden="false" outlineLevel="0" max="6" min="6" style="1" width="60"/>
  </cols>
  <sheetData>
    <row r="1" customFormat="false" ht="17.35" hidden="false" customHeight="false" outlineLevel="0" collapsed="false">
      <c r="A1" s="2" t="s">
        <v>302</v>
      </c>
    </row>
    <row r="3" customFormat="false" ht="15" hidden="false" customHeight="false" outlineLevel="0" collapsed="false">
      <c r="A3" s="6" t="s">
        <v>218</v>
      </c>
      <c r="B3" s="6" t="s">
        <v>303</v>
      </c>
      <c r="C3" s="6" t="s">
        <v>304</v>
      </c>
      <c r="D3" s="6" t="s">
        <v>305</v>
      </c>
      <c r="E3" s="6" t="s">
        <v>306</v>
      </c>
      <c r="F3" s="6" t="s">
        <v>307</v>
      </c>
    </row>
    <row r="4" customFormat="false" ht="15" hidden="false" customHeight="false" outlineLevel="0" collapsed="false">
      <c r="A4" s="8" t="s">
        <v>308</v>
      </c>
      <c r="B4" s="19" t="n">
        <f aca="false">Assumptions!$B$5</f>
        <v>49</v>
      </c>
      <c r="C4" s="19" t="n">
        <f aca="false">Assumptions!$B$7</f>
        <v>299</v>
      </c>
      <c r="D4" s="19" t="n">
        <f aca="false">Assumptions!$B$9</f>
        <v>1499</v>
      </c>
      <c r="E4" s="19" t="n">
        <f aca="false">B4*Assumptions!$B$60+C4*Assumptions!$B$61+D4*Assumptions!$B$62</f>
        <v>184</v>
      </c>
      <c r="F4" s="3" t="s">
        <v>309</v>
      </c>
    </row>
    <row r="5" customFormat="false" ht="15" hidden="false" customHeight="false" outlineLevel="0" collapsed="false">
      <c r="A5" s="8" t="s">
        <v>310</v>
      </c>
      <c r="B5" s="19" t="n">
        <f aca="false">B4*Assumptions!$B$72</f>
        <v>3.92</v>
      </c>
      <c r="C5" s="19" t="n">
        <f aca="false">C4*Assumptions!$B$72</f>
        <v>23.92</v>
      </c>
      <c r="D5" s="19" t="n">
        <f aca="false">D4*Assumptions!$B$72</f>
        <v>119.92</v>
      </c>
      <c r="E5" s="19" t="n">
        <f aca="false">B5*Assumptions!$B$60+C5*Assumptions!$B$61+D5*Assumptions!$B$62</f>
        <v>14.72</v>
      </c>
      <c r="F5" s="3" t="s">
        <v>311</v>
      </c>
    </row>
    <row r="6" customFormat="false" ht="15" hidden="false" customHeight="false" outlineLevel="0" collapsed="false">
      <c r="A6" s="21" t="s">
        <v>312</v>
      </c>
      <c r="B6" s="22" t="n">
        <f aca="false">B4+B5</f>
        <v>52.92</v>
      </c>
      <c r="C6" s="22" t="n">
        <f aca="false">C4+C5</f>
        <v>322.92</v>
      </c>
      <c r="D6" s="22" t="n">
        <f aca="false">D4+D5</f>
        <v>1618.92</v>
      </c>
      <c r="E6" s="22" t="n">
        <f aca="false">E4+E5</f>
        <v>198.72</v>
      </c>
    </row>
    <row r="7" customFormat="false" ht="15" hidden="false" customHeight="false" outlineLevel="0" collapsed="false">
      <c r="A7" s="8" t="s">
        <v>313</v>
      </c>
      <c r="B7" s="24" t="n">
        <f aca="false">Assumptions!$B$69*1000*Assumptions!$B$15/1000000</f>
        <v>0.15</v>
      </c>
      <c r="C7" s="24" t="n">
        <f aca="false">Assumptions!$B$70*1000*Assumptions!$B$15/1000000</f>
        <v>1.75</v>
      </c>
      <c r="D7" s="24" t="n">
        <f aca="false">Assumptions!$B$71*1000*Assumptions!$B$15/1000000</f>
        <v>22.5</v>
      </c>
      <c r="E7" s="24" t="n">
        <f aca="false">B7*Assumptions!$B$60+C7*Assumptions!$B$61+D7*Assumptions!$B$62</f>
        <v>1.6675</v>
      </c>
    </row>
    <row r="8" customFormat="false" ht="15" hidden="false" customHeight="false" outlineLevel="0" collapsed="false">
      <c r="A8" s="8" t="s">
        <v>314</v>
      </c>
      <c r="B8" s="24" t="n">
        <f aca="false">B6*Assumptions!$B$17+Assumptions!$B$18</f>
        <v>1.83468</v>
      </c>
      <c r="C8" s="24" t="n">
        <f aca="false">C6*Assumptions!$B$17+Assumptions!$B$18</f>
        <v>9.66468</v>
      </c>
      <c r="D8" s="24" t="n">
        <f aca="false">D6*Assumptions!$B$17+Assumptions!$B$18</f>
        <v>47.24868</v>
      </c>
      <c r="E8" s="24" t="n">
        <f aca="false">E6*Assumptions!$B$17+Assumptions!$B$18</f>
        <v>6.06288</v>
      </c>
    </row>
    <row r="9" customFormat="false" ht="15" hidden="false" customHeight="false" outlineLevel="0" collapsed="false">
      <c r="A9" s="21" t="s">
        <v>315</v>
      </c>
      <c r="B9" s="22" t="n">
        <f aca="false">B6-B7-B8</f>
        <v>50.93532</v>
      </c>
      <c r="C9" s="22" t="n">
        <f aca="false">C6-C7-C8</f>
        <v>311.50532</v>
      </c>
      <c r="D9" s="22" t="n">
        <f aca="false">D6-D7-D8</f>
        <v>1549.17132</v>
      </c>
      <c r="E9" s="22" t="n">
        <f aca="false">E6-E7-E8</f>
        <v>190.98962</v>
      </c>
    </row>
    <row r="10" customFormat="false" ht="15" hidden="false" customHeight="false" outlineLevel="0" collapsed="false">
      <c r="A10" s="8" t="s">
        <v>282</v>
      </c>
      <c r="B10" s="25" t="n">
        <f aca="false">IFERROR(B9/B6,0)</f>
        <v>0.962496598639456</v>
      </c>
      <c r="C10" s="25" t="n">
        <f aca="false">IFERROR(C9/C6,0)</f>
        <v>0.964651678434287</v>
      </c>
      <c r="D10" s="25" t="n">
        <f aca="false">IFERROR(D9/D6,0)</f>
        <v>0.95691653695056</v>
      </c>
      <c r="E10" s="25" t="n">
        <f aca="false">IFERROR(E9/E6,0)</f>
        <v>0.961099134460548</v>
      </c>
    </row>
    <row r="11" customFormat="false" ht="15" hidden="false" customHeight="false" outlineLevel="0" collapsed="false">
      <c r="A11" s="8" t="s">
        <v>316</v>
      </c>
      <c r="B11" s="25" t="n">
        <f aca="false">Assumptions!$B$63</f>
        <v>0.05</v>
      </c>
      <c r="C11" s="25" t="n">
        <f aca="false">Assumptions!$B$64</f>
        <v>0.03</v>
      </c>
      <c r="D11" s="25" t="n">
        <f aca="false">Assumptions!$B$65</f>
        <v>0.015</v>
      </c>
      <c r="E11" s="25" t="n">
        <f aca="false">B11*Assumptions!$B$60+C11*Assumptions!$B$61+D11*Assumptions!$B$62</f>
        <v>0.04325</v>
      </c>
    </row>
    <row r="12" customFormat="false" ht="15" hidden="false" customHeight="false" outlineLevel="0" collapsed="false">
      <c r="A12" s="8" t="s">
        <v>317</v>
      </c>
      <c r="B12" s="33" t="n">
        <f aca="false">IFERROR(1/B11,0)</f>
        <v>20</v>
      </c>
      <c r="C12" s="33" t="n">
        <f aca="false">IFERROR(1/C11,0)</f>
        <v>33.3333333333333</v>
      </c>
      <c r="D12" s="33" t="n">
        <f aca="false">IFERROR(1/D11,0)</f>
        <v>66.6666666666667</v>
      </c>
      <c r="E12" s="33" t="n">
        <f aca="false">IFERROR(1/E11,0)</f>
        <v>23.121387283237</v>
      </c>
    </row>
    <row r="13" customFormat="false" ht="15" hidden="false" customHeight="false" outlineLevel="0" collapsed="false">
      <c r="A13" s="8" t="s">
        <v>318</v>
      </c>
      <c r="B13" s="34" t="n">
        <f aca="false">Assumptions!$B$66</f>
        <v>1.05</v>
      </c>
      <c r="C13" s="34" t="n">
        <f aca="false">Assumptions!$B$67</f>
        <v>1.15</v>
      </c>
      <c r="D13" s="34" t="n">
        <f aca="false">Assumptions!$B$68</f>
        <v>1.25</v>
      </c>
      <c r="E13" s="34" t="n">
        <f aca="false">B13*Assumptions!$B$60+C13*Assumptions!$B$61+D13*Assumptions!$B$62</f>
        <v>1.085</v>
      </c>
    </row>
    <row r="14" customFormat="false" ht="15" hidden="false" customHeight="false" outlineLevel="0" collapsed="false">
      <c r="A14" s="8" t="s">
        <v>319</v>
      </c>
      <c r="B14" s="19" t="n">
        <f aca="false">B9*B12</f>
        <v>1018.7064</v>
      </c>
      <c r="C14" s="19" t="n">
        <f aca="false">C9*C12</f>
        <v>10383.5106666667</v>
      </c>
      <c r="D14" s="19" t="n">
        <f aca="false">D9*D12</f>
        <v>103278.088</v>
      </c>
      <c r="E14" s="19" t="n">
        <f aca="false">E9*E12</f>
        <v>4415.94497109827</v>
      </c>
    </row>
    <row r="15" customFormat="false" ht="15" hidden="false" customHeight="false" outlineLevel="0" collapsed="false">
      <c r="A15" s="8" t="s">
        <v>320</v>
      </c>
      <c r="B15" s="19" t="n">
        <f aca="false">B14*B13</f>
        <v>1069.64172</v>
      </c>
      <c r="C15" s="19" t="n">
        <f aca="false">C14*C13</f>
        <v>11941.0372666667</v>
      </c>
      <c r="D15" s="19" t="n">
        <f aca="false">D14*D13</f>
        <v>129097.61</v>
      </c>
      <c r="E15" s="19" t="n">
        <f aca="false">E14*E13</f>
        <v>4791.30029364162</v>
      </c>
    </row>
    <row r="16" customFormat="false" ht="15" hidden="false" customHeight="false" outlineLevel="0" collapsed="false">
      <c r="A16" s="8" t="s">
        <v>321</v>
      </c>
      <c r="B16" s="19" t="n">
        <f aca="false">B15/(1+Assumptions!$B$82)</f>
        <v>822.801323076923</v>
      </c>
      <c r="C16" s="19" t="n">
        <f aca="false">C15/(1+Assumptions!$B$82)</f>
        <v>9185.41328205128</v>
      </c>
      <c r="D16" s="19" t="n">
        <f aca="false">D15/(1+Assumptions!$B$82)</f>
        <v>99305.8538461539</v>
      </c>
      <c r="E16" s="19" t="n">
        <f aca="false">E15/(1+Assumptions!$B$82)</f>
        <v>3685.61561049355</v>
      </c>
    </row>
    <row r="17" customFormat="false" ht="15" hidden="false" customHeight="false" outlineLevel="0" collapsed="false">
      <c r="A17" s="21" t="s">
        <v>322</v>
      </c>
      <c r="E17" s="22" t="n">
        <f aca="false">E16</f>
        <v>3685.61561049355</v>
      </c>
    </row>
    <row r="18" customFormat="false" ht="15" hidden="false" customHeight="false" outlineLevel="0" collapsed="false">
      <c r="A18" s="8" t="s">
        <v>323</v>
      </c>
      <c r="B18" s="19" t="n">
        <f aca="false">B16/3</f>
        <v>274.267107692308</v>
      </c>
      <c r="C18" s="19" t="n">
        <f aca="false">C16/3</f>
        <v>3061.80442735043</v>
      </c>
      <c r="D18" s="19" t="n">
        <f aca="false">D16/3</f>
        <v>33101.9512820513</v>
      </c>
      <c r="E18" s="19" t="n">
        <f aca="false">E16/3</f>
        <v>1228.53853683118</v>
      </c>
    </row>
    <row r="19" customFormat="false" ht="15" hidden="false" customHeight="false" outlineLevel="0" collapsed="false">
      <c r="A19" s="8" t="s">
        <v>324</v>
      </c>
      <c r="B19" s="33" t="n">
        <f aca="false">IFERROR(B18/B9,0)</f>
        <v>5.38461538461539</v>
      </c>
      <c r="C19" s="33" t="n">
        <f aca="false">IFERROR(C18/C9,0)</f>
        <v>9.82905982905983</v>
      </c>
      <c r="D19" s="33" t="n">
        <f aca="false">IFERROR(D18/D9,0)</f>
        <v>21.3675213675214</v>
      </c>
      <c r="E19" s="33" t="n">
        <f aca="false">IFERROR(E18/E9,0)</f>
        <v>6.43248851341337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  <col collapsed="false" customWidth="true" hidden="false" outlineLevel="0" max="5" min="5" style="1" width="60"/>
  </cols>
  <sheetData>
    <row r="1" customFormat="false" ht="17.35" hidden="false" customHeight="false" outlineLevel="0" collapsed="false">
      <c r="A1" s="2" t="s">
        <v>325</v>
      </c>
    </row>
    <row r="3" customFormat="false" ht="15" hidden="false" customHeight="false" outlineLevel="0" collapsed="false">
      <c r="A3" s="35" t="s">
        <v>326</v>
      </c>
      <c r="B3" s="36" t="s">
        <v>327</v>
      </c>
    </row>
    <row r="5" customFormat="false" ht="15" hidden="false" customHeight="false" outlineLevel="0" collapsed="false">
      <c r="A5" s="6" t="s">
        <v>218</v>
      </c>
      <c r="B5" s="6" t="s">
        <v>328</v>
      </c>
      <c r="C5" s="6" t="s">
        <v>327</v>
      </c>
      <c r="D5" s="6" t="s">
        <v>329</v>
      </c>
      <c r="E5" s="6" t="s">
        <v>307</v>
      </c>
    </row>
    <row r="6" customFormat="false" ht="15" hidden="false" customHeight="false" outlineLevel="0" collapsed="false">
      <c r="A6" s="8" t="s">
        <v>330</v>
      </c>
      <c r="B6" s="34" t="n">
        <f aca="false">Assumptions!$B$75</f>
        <v>0.6</v>
      </c>
      <c r="C6" s="34" t="s">
        <v>331</v>
      </c>
      <c r="D6" s="34" t="n">
        <f aca="false">Assumptions!$B$77</f>
        <v>1.5</v>
      </c>
      <c r="E6" s="10" t="s">
        <v>332</v>
      </c>
    </row>
    <row r="7" customFormat="false" ht="15" hidden="false" customHeight="false" outlineLevel="0" collapsed="false">
      <c r="A7" s="8" t="s">
        <v>333</v>
      </c>
      <c r="B7" s="34" t="n">
        <f aca="false">Assumptions!$B$76</f>
        <v>0.7</v>
      </c>
      <c r="C7" s="34" t="s">
        <v>331</v>
      </c>
      <c r="D7" s="34" t="n">
        <f aca="false">Assumptions!$B$78</f>
        <v>1.2</v>
      </c>
      <c r="E7" s="10" t="s">
        <v>334</v>
      </c>
    </row>
    <row r="8" customFormat="false" ht="15" hidden="false" customHeight="false" outlineLevel="0" collapsed="false">
      <c r="A8" s="8" t="s">
        <v>335</v>
      </c>
      <c r="B8" s="23" t="n">
        <f aca="false">Funnel_24mo!Z5*B6</f>
        <v>50460</v>
      </c>
      <c r="C8" s="23" t="n">
        <f aca="false">Funnel_24mo!Z5</f>
        <v>84100</v>
      </c>
      <c r="D8" s="23" t="n">
        <f aca="false">Funnel_24mo!Z5*D6</f>
        <v>126150</v>
      </c>
      <c r="E8" s="10" t="s">
        <v>336</v>
      </c>
    </row>
    <row r="9" customFormat="false" ht="15" hidden="false" customHeight="false" outlineLevel="0" collapsed="false">
      <c r="A9" s="8" t="s">
        <v>337</v>
      </c>
      <c r="B9" s="23" t="n">
        <f aca="false">Funnel_24mo!Z7*B6*B7</f>
        <v>6278.3532</v>
      </c>
      <c r="C9" s="23" t="n">
        <f aca="false">Funnel_24mo!Z7</f>
        <v>14948.46</v>
      </c>
      <c r="D9" s="23" t="n">
        <f aca="false">Funnel_24mo!Z7*D6*D7</f>
        <v>26907.228</v>
      </c>
      <c r="E9" s="10" t="s">
        <v>338</v>
      </c>
    </row>
    <row r="10" customFormat="false" ht="15" hidden="false" customHeight="false" outlineLevel="0" collapsed="false">
      <c r="A10" s="8" t="s">
        <v>339</v>
      </c>
      <c r="B10" s="19" t="n">
        <f aca="false">PnL_24mo!Z11*B6*B7</f>
        <v>8117439.21704069</v>
      </c>
      <c r="C10" s="19" t="n">
        <f aca="false">PnL_24mo!Z11</f>
        <v>19327236.2310493</v>
      </c>
      <c r="D10" s="19" t="n">
        <f aca="false">PnL_24mo!Z11*D6*D7</f>
        <v>34789025.2158887</v>
      </c>
      <c r="E10" s="10" t="s">
        <v>340</v>
      </c>
    </row>
    <row r="11" customFormat="false" ht="15" hidden="false" customHeight="false" outlineLevel="0" collapsed="false">
      <c r="A11" s="8" t="s">
        <v>341</v>
      </c>
      <c r="B11" s="19" t="n">
        <f aca="false">PnL_24mo!Z24+PnL_24mo!Z15*B6*B7*0.6</f>
        <v>327288.169821261</v>
      </c>
      <c r="C11" s="19" t="n">
        <f aca="false">PnL_24mo!Z24+PnL_24mo!Z15</f>
        <v>811150.92332513</v>
      </c>
      <c r="D11" s="19" t="n">
        <f aca="false">PnL_24mo!Z24+PnL_24mo!Z15*D6*D7*1.4</f>
        <v>1794401.43846668</v>
      </c>
      <c r="E11" s="10" t="s">
        <v>342</v>
      </c>
    </row>
    <row r="12" customFormat="false" ht="22.35" hidden="false" customHeight="false" outlineLevel="0" collapsed="false">
      <c r="A12" s="8" t="s">
        <v>343</v>
      </c>
      <c r="B12" s="19" t="n">
        <f aca="false">B9-B10</f>
        <v>-8111160.86384069</v>
      </c>
      <c r="C12" s="19" t="n">
        <f aca="false">C9-C10</f>
        <v>-19312287.7710493</v>
      </c>
      <c r="D12" s="19" t="n">
        <f aca="false">D9-D10</f>
        <v>-34762117.9878887</v>
      </c>
      <c r="E12" s="10" t="s">
        <v>344</v>
      </c>
    </row>
    <row r="13" customFormat="false" ht="15" hidden="false" customHeight="false" outlineLevel="0" collapsed="false">
      <c r="A13" s="8" t="s">
        <v>345</v>
      </c>
      <c r="B13" s="19" t="n">
        <f aca="false">CashFlow_24mo!B6*1.6</f>
        <v>-57.23136</v>
      </c>
      <c r="C13" s="19" t="n">
        <f aca="false">CashFlow_24mo!B6</f>
        <v>-35.7696</v>
      </c>
      <c r="D13" s="19" t="n">
        <f aca="false">CashFlow_24mo!B6*0.7</f>
        <v>-25.03872</v>
      </c>
      <c r="E13" s="10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2026-05-05T23:27:26Z</dcterms:created>
  <dc:creator>openpyxl</dc:creator>
  <dc:description/>
  <dc:language>en-US</dc:language>
  <cp:lastModifiedBy/>
  <dcterms:modified xsi:type="dcterms:W3CDTF">2026-05-05T23:27:26Z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